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<sst xmlns="http://schemas.openxmlformats.org/spreadsheetml/2006/main" count="578" uniqueCount="69">
  <si>
    <t>coal</t>
  </si>
  <si>
    <t>hydro</t>
  </si>
  <si>
    <t>nuclear</t>
  </si>
  <si>
    <t>PV</t>
  </si>
  <si>
    <t>wind</t>
  </si>
  <si>
    <t>Province</t>
  </si>
  <si>
    <t>Anhui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</si>
  <si>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</si>
  <si>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</si>
  <si>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</si>
  <si>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</si>
  <si>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</si>
  <si>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</si>
  <si>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</si>
  <si>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</si>
  <si>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</si>
  <si>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</si>
  <si>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</si>
  <si>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Hubei</t>
  </si>
  <si>
    <t>Hunan</t>
  </si>
  <si>
    <t>Inner_Mongolia</t>
  </si>
  <si>
    <t>Jiangsu</t>
  </si>
  <si>
    <t>Jiangxi</t>
  </si>
  <si>
    <t>Jilin</t>
  </si>
  <si>
    <t>Liaoning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</si>
  <si>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</si>
  <si>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</si>
  <si>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</si>
  <si>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</si>
  <si>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</si>
  <si>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</si>
  <si>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</si>
  <si>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</si>
  <si>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Xinjiang</t>
  </si>
  <si>
    <t>Xizang</t>
  </si>
  <si>
    <t>Yunnan</t>
  </si>
  <si>
    <t>Zhejiang</t>
  </si>
  <si>
    <t>Lon</t>
  </si>
  <si>
    <t>Lat</t>
  </si>
  <si>
    <r>
      <rPr>
        <sz val="11"/>
        <color theme="1"/>
        <rFont val="宋体"/>
        <charset val="134"/>
        <scheme val="minor"/>
      </rPr>
      <t>H</t>
    </r>
    <r>
      <rPr>
        <sz val="11"/>
        <color theme="1"/>
        <rFont val="宋体"/>
        <charset val="134"/>
        <scheme val="minor"/>
      </rPr>
      <t>eilongjiang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</si>
  <si>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hanghai</t>
    </r>
  </si>
  <si>
    <r>
      <rPr>
        <sz val="11"/>
        <color theme="1"/>
        <rFont val="宋体"/>
        <charset val="134"/>
        <scheme val="minor"/>
      </rPr>
      <t>J</t>
    </r>
    <r>
      <rPr>
        <sz val="11"/>
        <color theme="1"/>
        <rFont val="宋体"/>
        <charset val="134"/>
        <scheme val="minor"/>
      </rPr>
      <t>iangsu</t>
    </r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</si>
  <si>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uangxi</t>
    </r>
  </si>
  <si>
    <r>
      <rPr>
        <sz val="11"/>
        <color theme="1"/>
        <rFont val="宋体"/>
        <charset val="134"/>
        <scheme val="minor"/>
      </rPr>
      <t>X</t>
    </r>
    <r>
      <rPr>
        <sz val="11"/>
        <color theme="1"/>
        <rFont val="宋体"/>
        <charset val="134"/>
        <scheme val="minor"/>
      </rPr>
      <t>injiang</t>
    </r>
  </si>
  <si>
    <t>Fbus</t>
  </si>
  <si>
    <t>Tbus</t>
  </si>
  <si>
    <t>Cap</t>
  </si>
  <si>
    <r>
      <t>price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USD/MW</t>
    </r>
    <r>
      <rPr>
        <sz val="11"/>
        <color theme="1"/>
        <rFont val="宋体"/>
        <charset val="134"/>
      </rPr>
      <t>）</t>
    </r>
  </si>
  <si>
    <t>Tran_type</t>
  </si>
  <si>
    <t>CATE</t>
  </si>
  <si>
    <t>Farea</t>
  </si>
  <si>
    <t>Tarea</t>
  </si>
  <si>
    <t>kV</t>
  </si>
  <si>
    <t>Distance</t>
  </si>
  <si>
    <t>Loss</t>
  </si>
  <si>
    <t>start year</t>
  </si>
  <si>
    <t>DC</t>
  </si>
  <si>
    <t>±800</t>
  </si>
  <si>
    <t>±1100</t>
  </si>
  <si>
    <t>±167</t>
  </si>
  <si>
    <t>±125</t>
  </si>
  <si>
    <t>±350</t>
  </si>
  <si>
    <t>±420</t>
  </si>
  <si>
    <t>±100</t>
  </si>
  <si>
    <t>±660</t>
  </si>
  <si>
    <t>±500</t>
  </si>
  <si>
    <t>±400</t>
  </si>
  <si>
    <t>AC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</si>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</sst>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等线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3" borderId="4">
      <alignment vertical="center"/>
    </xf>
    <xf numFmtId="0" fontId="16" fillId="4" borderId="5">
      <alignment vertical="center"/>
    </xf>
    <xf numFmtId="0" fontId="17" fillId="4" borderId="4">
      <alignment vertical="center"/>
    </xf>
    <xf numFmtId="0" fontId="18" fillId="5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/>
    <xf numFmtId="0" fontId="1" fillId="0" borderId="0" xfId="0" applyFont="1" applyFill="1" applyAlignment="1"/>
    <xf numFmtId="0" fontId="3" fillId="0" borderId="0" xfId="0" applyFont="1" applyFill="1" applyAlignment="1">
      <alignment horizontal="center"/>
    </xf>
    <xf numFmtId="0" fontId="0" fillId="0" borderId="0" xfId="0">
      <alignment vertical="center"/>
    </xf>
    <xf numFmtId="0" fontId="0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selection activeCell="I9" sqref="I9"/>
    </sheetView>
  </sheetViews>
  <sheetFormatPr defaultColWidth="9" defaultRowHeight="14.4" outlineLevelCol="6"/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/>
    </row>
    <row r="2" spans="1:7">
      <c r="A2" s="6">
        <v>63130</v>
      </c>
      <c r="B2" s="8">
        <v>6498</v>
      </c>
      <c r="C2" s="6">
        <v>0</v>
      </c>
      <c r="D2" s="6">
        <v>43113</v>
      </c>
      <c r="E2" s="8">
        <v>9077</v>
      </c>
      <c r="F2" s="9" t="s">
        <v>6</v>
      </c>
      <c r="G2" s="6">
        <v>1</v>
      </c>
    </row>
    <row r="3" spans="1:7">
      <c r="A3" s="8">
        <v>11520</v>
      </c>
      <c r="B3" s="8">
        <v>1017</v>
      </c>
      <c r="C3" s="6">
        <v>0</v>
      </c>
      <c r="D3" s="6">
        <v>1303</v>
      </c>
      <c r="E3" s="8">
        <v>236.5</v>
      </c>
      <c r="F3" s="9" t="s">
        <v>7</v>
      </c>
      <c r="G3" s="6">
        <v>2</v>
      </c>
    </row>
    <row r="4" spans="1:7">
      <c r="A4" s="8">
        <v>17493</v>
      </c>
      <c r="B4" s="8">
        <v>8886</v>
      </c>
      <c r="C4" s="6">
        <v>0</v>
      </c>
      <c r="D4" s="6">
        <v>3098</v>
      </c>
      <c r="E4" s="8">
        <v>2600</v>
      </c>
      <c r="F4" s="9" t="s">
        <v>8</v>
      </c>
      <c r="G4" s="6">
        <v>3</v>
      </c>
    </row>
    <row r="5" spans="1:7">
      <c r="A5" s="8">
        <v>38546</v>
      </c>
      <c r="B5" s="6">
        <v>17200</v>
      </c>
      <c r="C5" s="6">
        <v>12220</v>
      </c>
      <c r="D5" s="6">
        <v>12583</v>
      </c>
      <c r="E5" s="8">
        <v>8540</v>
      </c>
      <c r="F5" s="9" t="s">
        <v>9</v>
      </c>
      <c r="G5" s="6">
        <v>4</v>
      </c>
    </row>
    <row r="6" spans="1:7">
      <c r="A6" s="8">
        <v>25111</v>
      </c>
      <c r="B6" s="8">
        <v>10518</v>
      </c>
      <c r="C6" s="6">
        <v>0</v>
      </c>
      <c r="D6" s="6">
        <v>31388</v>
      </c>
      <c r="E6" s="6">
        <v>32150</v>
      </c>
      <c r="F6" s="9" t="s">
        <v>10</v>
      </c>
      <c r="G6" s="6">
        <v>5</v>
      </c>
    </row>
    <row r="7" spans="1:7">
      <c r="A7" s="10">
        <v>127400</v>
      </c>
      <c r="B7" s="6">
        <v>19050</v>
      </c>
      <c r="C7" s="6">
        <v>16140</v>
      </c>
      <c r="D7" s="6">
        <v>41155</v>
      </c>
      <c r="E7" s="6">
        <v>18080</v>
      </c>
      <c r="F7" s="9" t="s">
        <v>11</v>
      </c>
      <c r="G7" s="6">
        <v>6</v>
      </c>
    </row>
    <row r="8" spans="1:7">
      <c r="A8" s="8">
        <v>31850</v>
      </c>
      <c r="B8" s="6">
        <v>19040</v>
      </c>
      <c r="C8" s="6">
        <v>4530</v>
      </c>
      <c r="D8" s="10">
        <v>20523</v>
      </c>
      <c r="E8" s="10">
        <v>18080</v>
      </c>
      <c r="F8" s="9" t="s">
        <v>12</v>
      </c>
      <c r="G8" s="6">
        <v>7</v>
      </c>
    </row>
    <row r="9" spans="1:7">
      <c r="A9" s="8">
        <v>39990</v>
      </c>
      <c r="B9" s="6">
        <v>22980</v>
      </c>
      <c r="C9" s="6">
        <v>0</v>
      </c>
      <c r="D9" s="10">
        <v>19856</v>
      </c>
      <c r="E9" s="8">
        <v>8600</v>
      </c>
      <c r="F9" s="9" t="s">
        <v>13</v>
      </c>
      <c r="G9" s="6">
        <v>8</v>
      </c>
    </row>
    <row r="10" spans="1:7">
      <c r="A10" s="8">
        <v>10010</v>
      </c>
      <c r="B10" s="8">
        <v>1740</v>
      </c>
      <c r="C10" s="6">
        <v>1300</v>
      </c>
      <c r="D10" s="10">
        <v>7408</v>
      </c>
      <c r="E10" s="8">
        <v>360</v>
      </c>
      <c r="F10" s="9" t="s">
        <v>14</v>
      </c>
      <c r="G10" s="6">
        <v>9</v>
      </c>
    </row>
    <row r="11" spans="1:7">
      <c r="A11" s="8">
        <v>56471</v>
      </c>
      <c r="B11" s="8">
        <v>6334</v>
      </c>
      <c r="C11" s="6">
        <v>0</v>
      </c>
      <c r="D11" s="6">
        <v>72024</v>
      </c>
      <c r="E11" s="6">
        <v>38090</v>
      </c>
      <c r="F11" s="9" t="s">
        <v>15</v>
      </c>
      <c r="G11" s="6">
        <v>10</v>
      </c>
    </row>
    <row r="12" spans="1:7">
      <c r="A12" s="8">
        <v>25770</v>
      </c>
      <c r="B12" s="8">
        <v>2650</v>
      </c>
      <c r="C12" s="6">
        <v>0</v>
      </c>
      <c r="D12" s="6">
        <v>7171</v>
      </c>
      <c r="E12" s="8">
        <v>13861</v>
      </c>
      <c r="F12" s="9" t="s">
        <v>16</v>
      </c>
      <c r="G12" s="6">
        <v>11</v>
      </c>
    </row>
    <row r="13" spans="1:7">
      <c r="A13" s="6">
        <v>74210</v>
      </c>
      <c r="B13" s="8">
        <v>5981</v>
      </c>
      <c r="C13" s="6">
        <v>0</v>
      </c>
      <c r="D13" s="6">
        <v>43491</v>
      </c>
      <c r="E13" s="6">
        <v>23340</v>
      </c>
      <c r="F13" s="9" t="s">
        <v>17</v>
      </c>
      <c r="G13" s="6">
        <v>12</v>
      </c>
    </row>
    <row r="14" spans="1:7">
      <c r="A14" s="8">
        <v>40775</v>
      </c>
      <c r="B14" s="6">
        <v>38120</v>
      </c>
      <c r="C14" s="6">
        <v>0</v>
      </c>
      <c r="D14" s="6">
        <v>35100</v>
      </c>
      <c r="E14" s="8">
        <v>9594</v>
      </c>
      <c r="F14" s="9" t="s">
        <v>18</v>
      </c>
      <c r="G14" s="6">
        <v>13</v>
      </c>
    </row>
    <row r="15" spans="1:7">
      <c r="A15" s="8">
        <v>28953</v>
      </c>
      <c r="B15" s="6">
        <v>16370</v>
      </c>
      <c r="C15" s="6">
        <v>0</v>
      </c>
      <c r="D15" s="6">
        <v>18734</v>
      </c>
      <c r="E15" s="8">
        <v>10457</v>
      </c>
      <c r="F15" s="9" t="s">
        <v>19</v>
      </c>
      <c r="G15" s="6">
        <v>14</v>
      </c>
    </row>
    <row r="16" spans="1:7">
      <c r="A16" s="6">
        <v>121070</v>
      </c>
      <c r="B16" s="8">
        <v>2620</v>
      </c>
      <c r="C16" s="6">
        <v>0</v>
      </c>
      <c r="D16" s="6">
        <v>48109</v>
      </c>
      <c r="E16" s="6">
        <v>85990</v>
      </c>
      <c r="F16" s="9" t="s">
        <v>20</v>
      </c>
      <c r="G16" s="6">
        <v>15</v>
      </c>
    </row>
    <row r="17" spans="1:7">
      <c r="A17" s="6">
        <v>109520</v>
      </c>
      <c r="B17" s="8">
        <v>2751</v>
      </c>
      <c r="C17" s="6">
        <v>6610</v>
      </c>
      <c r="D17" s="6">
        <v>61647</v>
      </c>
      <c r="E17" s="6">
        <v>23210</v>
      </c>
      <c r="F17" s="9" t="s">
        <v>21</v>
      </c>
      <c r="G17" s="6">
        <v>16</v>
      </c>
    </row>
    <row r="18" spans="1:7">
      <c r="A18" s="8">
        <v>31610</v>
      </c>
      <c r="B18" s="8">
        <v>7609</v>
      </c>
      <c r="C18" s="6">
        <v>0</v>
      </c>
      <c r="D18" s="6">
        <v>25639</v>
      </c>
      <c r="E18" s="8">
        <v>6684</v>
      </c>
      <c r="F18" s="9" t="s">
        <v>22</v>
      </c>
      <c r="G18" s="6">
        <v>17</v>
      </c>
    </row>
    <row r="19" spans="1:7">
      <c r="A19" s="8">
        <v>18903</v>
      </c>
      <c r="B19" s="8">
        <v>6991</v>
      </c>
      <c r="C19" s="6">
        <v>0</v>
      </c>
      <c r="D19" s="6">
        <v>5830</v>
      </c>
      <c r="E19" s="8">
        <v>14550</v>
      </c>
      <c r="F19" s="9" t="s">
        <v>23</v>
      </c>
      <c r="G19" s="6">
        <v>18</v>
      </c>
    </row>
    <row r="20" spans="1:7">
      <c r="A20" s="8">
        <v>39610</v>
      </c>
      <c r="B20" s="8">
        <v>4244</v>
      </c>
      <c r="C20" s="6">
        <v>6680</v>
      </c>
      <c r="D20" s="6">
        <v>12139</v>
      </c>
      <c r="E20" s="8">
        <v>15860</v>
      </c>
      <c r="F20" s="9" t="s">
        <v>24</v>
      </c>
      <c r="G20" s="6">
        <v>19</v>
      </c>
    </row>
    <row r="21" spans="1:7">
      <c r="A21" s="8">
        <v>33300</v>
      </c>
      <c r="B21" s="8">
        <v>427</v>
      </c>
      <c r="C21" s="6">
        <v>0</v>
      </c>
      <c r="D21" s="6">
        <v>26240</v>
      </c>
      <c r="E21" s="8">
        <v>15805</v>
      </c>
      <c r="F21" s="9" t="s">
        <v>25</v>
      </c>
      <c r="G21" s="6">
        <v>20</v>
      </c>
    </row>
    <row r="22" spans="1:7">
      <c r="A22" s="8">
        <v>4125</v>
      </c>
      <c r="B22" s="6">
        <v>16400</v>
      </c>
      <c r="C22" s="6">
        <v>0</v>
      </c>
      <c r="D22" s="6">
        <v>36420</v>
      </c>
      <c r="E22" s="6">
        <v>12683</v>
      </c>
      <c r="F22" s="9" t="s">
        <v>26</v>
      </c>
      <c r="G22" s="6">
        <v>21</v>
      </c>
    </row>
    <row r="23" spans="1:7">
      <c r="A23" s="6">
        <v>62620</v>
      </c>
      <c r="B23" s="8">
        <v>4072</v>
      </c>
      <c r="C23" s="6">
        <v>0</v>
      </c>
      <c r="D23" s="6">
        <v>34330</v>
      </c>
      <c r="E23" s="8">
        <v>13920</v>
      </c>
      <c r="F23" s="9" t="s">
        <v>27</v>
      </c>
      <c r="G23" s="6">
        <v>22</v>
      </c>
    </row>
    <row r="24" spans="1:7">
      <c r="A24" s="6">
        <v>121220</v>
      </c>
      <c r="B24" s="8">
        <v>4272</v>
      </c>
      <c r="C24" s="6">
        <v>4180</v>
      </c>
      <c r="D24" s="6">
        <v>76134</v>
      </c>
      <c r="E24" s="6">
        <v>26690</v>
      </c>
      <c r="F24" s="9" t="s">
        <v>28</v>
      </c>
      <c r="G24" s="6">
        <v>23</v>
      </c>
    </row>
    <row r="25" spans="1:7">
      <c r="A25" s="8">
        <v>25575</v>
      </c>
      <c r="B25" s="8">
        <v>0</v>
      </c>
      <c r="C25" s="7">
        <v>0</v>
      </c>
      <c r="D25" s="6">
        <v>4114</v>
      </c>
      <c r="E25" s="8">
        <v>1067</v>
      </c>
      <c r="F25" s="9" t="s">
        <v>29</v>
      </c>
      <c r="G25" s="6">
        <v>24</v>
      </c>
    </row>
    <row r="26" spans="1:7">
      <c r="A26" s="6">
        <v>81980</v>
      </c>
      <c r="B26" s="8">
        <v>3054</v>
      </c>
      <c r="C26" s="6">
        <v>0</v>
      </c>
      <c r="D26" s="6">
        <v>34768</v>
      </c>
      <c r="E26" s="6">
        <v>26160</v>
      </c>
      <c r="F26" s="9" t="s">
        <v>30</v>
      </c>
      <c r="G26" s="6">
        <v>25</v>
      </c>
    </row>
    <row r="27" spans="1:7">
      <c r="A27" s="8">
        <v>21470</v>
      </c>
      <c r="B27" s="6">
        <v>97700</v>
      </c>
      <c r="C27" s="6">
        <v>0</v>
      </c>
      <c r="D27" s="6">
        <v>10823</v>
      </c>
      <c r="E27" s="8">
        <v>8930</v>
      </c>
      <c r="F27" s="9" t="s">
        <v>31</v>
      </c>
      <c r="G27" s="6">
        <v>26</v>
      </c>
    </row>
    <row r="28" spans="1:7">
      <c r="A28" s="8">
        <v>18990</v>
      </c>
      <c r="B28" s="8">
        <v>10</v>
      </c>
      <c r="C28" s="6">
        <v>0</v>
      </c>
      <c r="D28" s="6">
        <v>7241</v>
      </c>
      <c r="E28" s="8">
        <v>2072</v>
      </c>
      <c r="F28" s="9" t="s">
        <v>32</v>
      </c>
      <c r="G28" s="6">
        <v>27</v>
      </c>
    </row>
    <row r="29" spans="1:7">
      <c r="A29" s="6">
        <v>77080</v>
      </c>
      <c r="B29" s="8">
        <v>11531</v>
      </c>
      <c r="C29" s="6">
        <v>0</v>
      </c>
      <c r="D29" s="6">
        <v>56748</v>
      </c>
      <c r="E29" s="7">
        <v>47080</v>
      </c>
      <c r="F29" s="9" t="s">
        <v>33</v>
      </c>
      <c r="G29" s="6">
        <v>28</v>
      </c>
    </row>
    <row r="30" spans="1:7">
      <c r="A30" s="8">
        <v>428</v>
      </c>
      <c r="B30" s="8">
        <v>3134</v>
      </c>
      <c r="C30" s="6">
        <v>0</v>
      </c>
      <c r="D30" s="6">
        <v>4039</v>
      </c>
      <c r="E30" s="8">
        <v>180</v>
      </c>
      <c r="F30" s="9" t="s">
        <v>34</v>
      </c>
      <c r="G30" s="6">
        <v>29</v>
      </c>
    </row>
    <row r="31" spans="1:7">
      <c r="A31" s="8">
        <v>14560</v>
      </c>
      <c r="B31" s="6">
        <v>83600</v>
      </c>
      <c r="C31" s="6">
        <v>0</v>
      </c>
      <c r="D31" s="10">
        <v>37230</v>
      </c>
      <c r="E31" s="8">
        <v>18810</v>
      </c>
      <c r="F31" s="9" t="s">
        <v>35</v>
      </c>
      <c r="G31" s="6">
        <v>30</v>
      </c>
    </row>
    <row r="32" spans="1:7">
      <c r="A32" s="6">
        <v>71650</v>
      </c>
      <c r="B32" s="6">
        <v>14980</v>
      </c>
      <c r="C32" s="6">
        <v>9170</v>
      </c>
      <c r="D32" s="6">
        <v>47275</v>
      </c>
      <c r="E32" s="8">
        <v>7241</v>
      </c>
      <c r="F32" s="9" t="s">
        <v>36</v>
      </c>
      <c r="G32" s="6">
        <v>31</v>
      </c>
    </row>
    <row r="33" spans="1:7">
      <c r="A33" s="6">
        <v>1</v>
      </c>
      <c r="B33" s="6">
        <v>2</v>
      </c>
      <c r="C33" s="6">
        <v>3</v>
      </c>
      <c r="D33" s="6">
        <v>4</v>
      </c>
      <c r="E33" s="6">
        <v>5</v>
      </c>
      <c r="F33" s="6"/>
      <c r="G33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workbookViewId="0">
      <selection activeCell="F14" sqref="F14"/>
    </sheetView>
  </sheetViews>
  <sheetFormatPr defaultColWidth="9" defaultRowHeight="14.4" outlineLevelCol="2"/>
  <cols>
    <col min="1" max="1" width="9" style="6"/>
    <col min="2" max="2" width="9.66666666666667" style="6"/>
    <col min="3" max="16384" width="9" style="6"/>
  </cols>
  <sheetData>
    <row r="1" s="6" customFormat="1" spans="1:3">
      <c r="A1" s="6" t="s">
        <v>5</v>
      </c>
      <c r="B1" s="6" t="s">
        <v>37</v>
      </c>
      <c r="C1" s="6" t="s">
        <v>38</v>
      </c>
    </row>
    <row r="2" s="6" customFormat="1" spans="1:3">
      <c r="A2" s="6" t="s">
        <v>7</v>
      </c>
      <c r="B2" s="6">
        <v>116.4074</v>
      </c>
      <c r="C2" s="6">
        <v>39.9042</v>
      </c>
    </row>
    <row r="3" s="6" customFormat="1" spans="1:3">
      <c r="A3" s="7" t="s">
        <v>32</v>
      </c>
      <c r="B3" s="6">
        <v>117.1994</v>
      </c>
      <c r="C3" s="6">
        <v>39.0851</v>
      </c>
    </row>
    <row r="4" s="6" customFormat="1" spans="1:3">
      <c r="A4" s="7" t="s">
        <v>15</v>
      </c>
      <c r="B4" s="6">
        <v>114.9995</v>
      </c>
      <c r="C4" s="6">
        <v>38.1006</v>
      </c>
    </row>
    <row r="5" s="6" customFormat="1" spans="1:3">
      <c r="A5" s="7" t="s">
        <v>30</v>
      </c>
      <c r="B5" s="6">
        <v>112.5489</v>
      </c>
      <c r="C5" s="6">
        <v>37.8706</v>
      </c>
    </row>
    <row r="6" s="6" customFormat="1" spans="1:3">
      <c r="A6" s="7" t="s">
        <v>20</v>
      </c>
      <c r="B6" s="6">
        <v>111.751</v>
      </c>
      <c r="C6" s="6">
        <v>40.8415</v>
      </c>
    </row>
    <row r="7" s="6" customFormat="1" spans="1:3">
      <c r="A7" s="7" t="s">
        <v>24</v>
      </c>
      <c r="B7" s="6">
        <v>123.4315</v>
      </c>
      <c r="C7" s="6">
        <v>41.8057</v>
      </c>
    </row>
    <row r="8" s="6" customFormat="1" spans="1:3">
      <c r="A8" s="7" t="s">
        <v>23</v>
      </c>
      <c r="B8" s="6">
        <v>125.3235</v>
      </c>
      <c r="C8" s="6">
        <v>43.8171</v>
      </c>
    </row>
    <row r="9" s="6" customFormat="1" spans="1:3">
      <c r="A9" s="7" t="s">
        <v>39</v>
      </c>
      <c r="B9" s="6">
        <v>126.535</v>
      </c>
      <c r="C9" s="6">
        <v>45.8022</v>
      </c>
    </row>
    <row r="10" s="6" customFormat="1" spans="1:3">
      <c r="A10" s="7" t="s">
        <v>40</v>
      </c>
      <c r="B10" s="6">
        <v>121.4737</v>
      </c>
      <c r="C10" s="6">
        <v>31.2304</v>
      </c>
    </row>
    <row r="11" s="6" customFormat="1" spans="1:3">
      <c r="A11" s="7" t="s">
        <v>41</v>
      </c>
      <c r="B11" s="6">
        <v>119.5969</v>
      </c>
      <c r="C11" s="6">
        <v>32.0603</v>
      </c>
    </row>
    <row r="12" s="6" customFormat="1" spans="1:3">
      <c r="A12" s="7" t="s">
        <v>36</v>
      </c>
      <c r="B12" s="6">
        <v>120.1551</v>
      </c>
      <c r="C12" s="6">
        <v>29.2741</v>
      </c>
    </row>
    <row r="13" s="6" customFormat="1" spans="1:3">
      <c r="A13" s="7" t="s">
        <v>6</v>
      </c>
      <c r="B13" s="6">
        <v>117.2272</v>
      </c>
      <c r="C13" s="6">
        <v>31.8206</v>
      </c>
    </row>
    <row r="14" s="6" customFormat="1" spans="1:3">
      <c r="A14" s="7" t="s">
        <v>9</v>
      </c>
      <c r="B14" s="6">
        <v>119.2965</v>
      </c>
      <c r="C14" s="6">
        <v>26.0745</v>
      </c>
    </row>
    <row r="15" s="6" customFormat="1" spans="1:3">
      <c r="A15" s="7" t="s">
        <v>22</v>
      </c>
      <c r="B15" s="6">
        <v>115.8581</v>
      </c>
      <c r="C15" s="6">
        <v>28.6829</v>
      </c>
    </row>
    <row r="16" s="6" customFormat="1" spans="1:3">
      <c r="A16" s="7" t="s">
        <v>28</v>
      </c>
      <c r="B16" s="6">
        <v>117.6201</v>
      </c>
      <c r="C16" s="6">
        <v>36.351</v>
      </c>
    </row>
    <row r="17" s="6" customFormat="1" spans="1:3">
      <c r="A17" s="7" t="s">
        <v>17</v>
      </c>
      <c r="B17" s="6">
        <v>113.6254</v>
      </c>
      <c r="C17" s="6">
        <v>34.7466</v>
      </c>
    </row>
    <row r="18" s="6" customFormat="1" spans="1:3">
      <c r="A18" s="7" t="s">
        <v>18</v>
      </c>
      <c r="B18" s="6">
        <v>114.3054</v>
      </c>
      <c r="C18" s="6">
        <v>30.5928</v>
      </c>
    </row>
    <row r="19" s="6" customFormat="1" spans="1:3">
      <c r="A19" s="7" t="s">
        <v>19</v>
      </c>
      <c r="B19" s="6">
        <v>112.9388</v>
      </c>
      <c r="C19" s="6">
        <v>28.2282</v>
      </c>
    </row>
    <row r="20" s="6" customFormat="1" spans="1:3">
      <c r="A20" s="7" t="s">
        <v>11</v>
      </c>
      <c r="B20" s="6">
        <v>113.2644</v>
      </c>
      <c r="C20" s="6">
        <v>23.1291</v>
      </c>
    </row>
    <row r="21" s="6" customFormat="1" spans="1:3">
      <c r="A21" s="7" t="s">
        <v>42</v>
      </c>
      <c r="B21" s="6">
        <v>108.32</v>
      </c>
      <c r="C21" s="6">
        <v>22.824</v>
      </c>
    </row>
    <row r="22" s="6" customFormat="1" spans="1:3">
      <c r="A22" s="7" t="s">
        <v>14</v>
      </c>
      <c r="B22" s="6">
        <v>110.1999</v>
      </c>
      <c r="C22" s="6">
        <v>20.044</v>
      </c>
    </row>
    <row r="23" s="6" customFormat="1" spans="1:3">
      <c r="A23" s="7" t="s">
        <v>8</v>
      </c>
      <c r="B23" s="6">
        <v>106.5516</v>
      </c>
      <c r="C23" s="6">
        <v>29.563</v>
      </c>
    </row>
    <row r="24" s="6" customFormat="1" spans="1:3">
      <c r="A24" s="7" t="s">
        <v>31</v>
      </c>
      <c r="B24" s="6">
        <v>104.0665</v>
      </c>
      <c r="C24" s="6">
        <v>30.5728</v>
      </c>
    </row>
    <row r="25" s="6" customFormat="1" spans="1:3">
      <c r="A25" s="7" t="s">
        <v>13</v>
      </c>
      <c r="B25" s="6">
        <v>106.6302</v>
      </c>
      <c r="C25" s="6">
        <v>26.6477</v>
      </c>
    </row>
    <row r="26" s="6" customFormat="1" spans="1:3">
      <c r="A26" s="7" t="s">
        <v>35</v>
      </c>
      <c r="B26" s="6">
        <v>102.8329</v>
      </c>
      <c r="C26" s="6">
        <v>24.8801</v>
      </c>
    </row>
    <row r="27" s="6" customFormat="1" spans="1:3">
      <c r="A27" s="7" t="s">
        <v>34</v>
      </c>
      <c r="B27" s="6">
        <v>91.1406</v>
      </c>
      <c r="C27" s="6">
        <v>29.6455</v>
      </c>
    </row>
    <row r="28" s="6" customFormat="1" spans="1:3">
      <c r="A28" s="7" t="s">
        <v>27</v>
      </c>
      <c r="B28" s="6">
        <v>108.9398</v>
      </c>
      <c r="C28" s="6">
        <v>34.3416</v>
      </c>
    </row>
    <row r="29" s="6" customFormat="1" spans="1:3">
      <c r="A29" s="7" t="s">
        <v>10</v>
      </c>
      <c r="B29" s="6">
        <v>103.8342</v>
      </c>
      <c r="C29" s="6">
        <v>36.0611</v>
      </c>
    </row>
    <row r="30" s="6" customFormat="1" spans="1:3">
      <c r="A30" s="7" t="s">
        <v>26</v>
      </c>
      <c r="B30" s="6">
        <v>101.7778</v>
      </c>
      <c r="C30" s="6">
        <v>36.6171</v>
      </c>
    </row>
    <row r="31" s="6" customFormat="1" spans="1:3">
      <c r="A31" s="7" t="s">
        <v>25</v>
      </c>
      <c r="B31" s="6">
        <v>106.2325</v>
      </c>
      <c r="C31" s="6">
        <v>38.4864</v>
      </c>
    </row>
    <row r="32" s="6" customFormat="1" spans="1:3">
      <c r="A32" s="7" t="s">
        <v>43</v>
      </c>
      <c r="B32" s="6">
        <v>87.6168</v>
      </c>
      <c r="C32" s="6">
        <v>43.8256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4"/>
  <sheetViews>
    <sheetView tabSelected="1" workbookViewId="0">
      <selection activeCell="N13" sqref="N13"/>
    </sheetView>
  </sheetViews>
  <sheetFormatPr defaultColWidth="9" defaultRowHeight="14.4"/>
  <sheetData>
    <row r="1" spans="1:12">
      <c r="A1" s="1" t="s">
        <v>44</v>
      </c>
      <c r="B1" s="1" t="s">
        <v>45</v>
      </c>
      <c r="C1" s="2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s="1">
        <f>LOOKUP(G2,{"Anhui","Beijing","Chongqing","Fujian","Gansu","Guangdong","Guangxi","Guizhou","Hainan","Hebei","Heilongjiang","Henan","Hubei","Hunan","Inner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30</v>
      </c>
      <c r="B2" s="1">
        <f>LOOKUP(H2,{"Anhui","Beijing","Chongqing","Fujian","Gansu","Guangdong","Guangxi","Guizhou","Hainan","Hebei","Heilongjiang","Henan","Hubei","Hunan","Inner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6</v>
      </c>
      <c r="C2" s="1">
        <v>5000</v>
      </c>
      <c r="D2" s="1"/>
      <c r="E2" s="1"/>
      <c r="F2" s="1" t="s">
        <v>56</v>
      </c>
      <c r="G2" s="1" t="s">
        <v>35</v>
      </c>
      <c r="H2" s="1" t="s">
        <v>11</v>
      </c>
      <c r="I2" s="1" t="s">
        <v>57</v>
      </c>
      <c r="J2" s="1">
        <v>1374</v>
      </c>
      <c r="K2" s="1"/>
      <c r="L2" s="1">
        <v>2010</v>
      </c>
    </row>
    <row r="3" spans="1:12">
      <c r="A3" s="1">
        <f>LOOKUP(G3,{"Anhui","Beijing","Chongqing","Fujian","Gansu","Guangdong","Guangxi","Guizhou","Hainan","Hebei","Heilongjiang","Henan","Hubei","Hunan","Inner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26</v>
      </c>
      <c r="B3" s="1">
        <f>LOOKUP(H3,{"Anhui","Beijing","Chongqing","Fujian","Gansu","Guangdong","Guangxi","Guizhou","Hainan","Hebei","Heilongjiang","Henan","Hubei","Hunan","Inner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24</v>
      </c>
      <c r="C3" s="1">
        <v>6400</v>
      </c>
      <c r="D3" s="1"/>
      <c r="E3" s="1"/>
      <c r="F3" s="1" t="s">
        <v>56</v>
      </c>
      <c r="G3" s="1" t="s">
        <v>31</v>
      </c>
      <c r="H3" s="1" t="s">
        <v>29</v>
      </c>
      <c r="I3" s="1" t="s">
        <v>57</v>
      </c>
      <c r="J3" s="1">
        <v>1907</v>
      </c>
      <c r="K3" s="1"/>
      <c r="L3" s="1">
        <v>2010</v>
      </c>
    </row>
    <row r="4" spans="1:12">
      <c r="A4" s="1">
        <f>LOOKUP(G4,{"Anhui","Beijing","Chongqing","Fujian","Gansu","Guangdong","Guangxi","Guizhou","Hainan","Hebei","Heilongjiang","Henan","Hubei","Hunan","Inner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26</v>
      </c>
      <c r="B4" s="1">
        <f>LOOKUP(H4,{"Anhui","Beijing","Chongqing","Fujian","Gansu","Guangdong","Guangxi","Guizhou","Hainan","Hebei","Heilongjiang","Henan","Hubei","Hunan","Inner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16</v>
      </c>
      <c r="C4" s="1">
        <v>7200</v>
      </c>
      <c r="D4" s="1"/>
      <c r="E4" s="1"/>
      <c r="F4" s="1" t="s">
        <v>56</v>
      </c>
      <c r="G4" s="1" t="s">
        <v>31</v>
      </c>
      <c r="H4" s="1" t="s">
        <v>21</v>
      </c>
      <c r="I4" s="1" t="s">
        <v>57</v>
      </c>
      <c r="J4" s="1">
        <v>2078</v>
      </c>
      <c r="K4" s="1"/>
      <c r="L4" s="1">
        <v>2012</v>
      </c>
    </row>
    <row r="5" spans="1:12">
      <c r="A5" s="1">
        <f>LOOKUP(G5,{"Anhui","Beijing","Chongqing","Fujian","Gansu","Guangdong","Guangxi","Guizhou","Hainan","Hebei","Heilongjiang","Henan","Hubei","Hunan","Inner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28</v>
      </c>
      <c r="B5" s="1">
        <f>LOOKUP(H5,{"Anhui","Beijing","Chongqing","Fujian","Gansu","Guangdong","Guangxi","Guizhou","Hainan","Hebei","Heilongjiang","Henan","Hubei","Hunan","Inner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12</v>
      </c>
      <c r="C5" s="1">
        <v>8000</v>
      </c>
      <c r="D5" s="1"/>
      <c r="E5" s="1"/>
      <c r="F5" s="1" t="s">
        <v>56</v>
      </c>
      <c r="G5" s="1" t="s">
        <v>33</v>
      </c>
      <c r="H5" s="1" t="s">
        <v>17</v>
      </c>
      <c r="I5" s="1" t="s">
        <v>57</v>
      </c>
      <c r="J5" s="1">
        <v>2192</v>
      </c>
      <c r="K5" s="1"/>
      <c r="L5" s="1">
        <v>2014</v>
      </c>
    </row>
    <row r="6" spans="1:12">
      <c r="A6" s="1">
        <f>LOOKUP(G6,{"Anhui","Beijing","Chongqing","Fujian","Gansu","Guangdong","Guangxi","Guizhou","Hainan","Hebei","Heilongjiang","Henan","Hubei","Hunan","Inner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30</v>
      </c>
      <c r="B6" s="1">
        <f>LOOKUP(H6,{"Anhui","Beijing","Chongqing","Fujian","Gansu","Guangdong","Guangxi","Guizhou","Hainan","Hebei","Heilongjiang","Henan","Hubei","Hunan","Inner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6</v>
      </c>
      <c r="C6" s="1">
        <v>5000</v>
      </c>
      <c r="D6" s="1"/>
      <c r="E6" s="1"/>
      <c r="F6" s="1" t="s">
        <v>56</v>
      </c>
      <c r="G6" s="1" t="s">
        <v>35</v>
      </c>
      <c r="H6" s="1" t="s">
        <v>11</v>
      </c>
      <c r="I6" s="1" t="s">
        <v>57</v>
      </c>
      <c r="J6" s="1">
        <v>1412</v>
      </c>
      <c r="K6" s="1"/>
      <c r="L6" s="1">
        <v>2013</v>
      </c>
    </row>
    <row r="7" spans="1:12">
      <c r="A7" s="1">
        <f>LOOKUP(G7,{"Anhui","Beijing","Chongqing","Fujian","Gansu","Guangdong","Guangxi","Guizhou","Hainan","Hebei","Heilongjiang","Henan","Hubei","Hunan","Inner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26</v>
      </c>
      <c r="B7" s="1">
        <f>LOOKUP(H7,{"Anhui","Beijing","Chongqing","Fujian","Gansu","Guangdong","Guangxi","Guizhou","Hainan","Hebei","Heilongjiang","Henan","Hubei","Hunan","Inner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31</v>
      </c>
      <c r="C7" s="1">
        <v>8000</v>
      </c>
      <c r="D7" s="1"/>
      <c r="E7" s="1"/>
      <c r="F7" s="1" t="s">
        <v>56</v>
      </c>
      <c r="G7" s="1" t="s">
        <v>31</v>
      </c>
      <c r="H7" s="1" t="s">
        <v>36</v>
      </c>
      <c r="I7" s="1" t="s">
        <v>57</v>
      </c>
      <c r="J7" s="1">
        <v>1653</v>
      </c>
      <c r="K7" s="1"/>
      <c r="L7" s="1">
        <v>2014</v>
      </c>
    </row>
    <row r="8" spans="1:12">
      <c r="A8" s="1">
        <f>LOOKUP(G8,{"Anhui","Beijing","Chongqing","Fujian","Gansu","Guangdong","Guangxi","Guizhou","Hainan","Hebei","Heilongjiang","Henan","Hubei","Hunan","Inner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20</v>
      </c>
      <c r="B8" s="1">
        <f>LOOKUP(H8,{"Anhui","Beijing","Chongqing","Fujian","Gansu","Guangdong","Guangxi","Guizhou","Hainan","Hebei","Heilongjiang","Henan","Hubei","Hunan","Inner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31</v>
      </c>
      <c r="C8" s="1">
        <v>8000</v>
      </c>
      <c r="D8" s="1"/>
      <c r="E8" s="1"/>
      <c r="F8" s="1" t="s">
        <v>56</v>
      </c>
      <c r="G8" s="1" t="s">
        <v>25</v>
      </c>
      <c r="H8" s="1" t="s">
        <v>36</v>
      </c>
      <c r="I8" s="1" t="s">
        <v>57</v>
      </c>
      <c r="J8" s="1">
        <v>1720</v>
      </c>
      <c r="K8" s="1"/>
      <c r="L8" s="1">
        <v>2016</v>
      </c>
    </row>
    <row r="9" spans="1:12">
      <c r="A9" s="1">
        <f>LOOKUP(G9,{"Anhui","Beijing","Chongqing","Fujian","Gansu","Guangdong","Guangxi","Guizhou","Hainan","Hebei","Heilongjiang","Henan","Hubei","Hunan","Inner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5</v>
      </c>
      <c r="B9" s="1">
        <f>LOOKUP(H9,{"Anhui","Beijing","Chongqing","Fujian","Gansu","Guangdong","Guangxi","Guizhou","Hainan","Hebei","Heilongjiang","Henan","Hubei","Hunan","Inner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14</v>
      </c>
      <c r="C9" s="1">
        <v>8000</v>
      </c>
      <c r="D9" s="1"/>
      <c r="E9" s="1"/>
      <c r="F9" s="1" t="s">
        <v>56</v>
      </c>
      <c r="G9" s="1" t="s">
        <v>10</v>
      </c>
      <c r="H9" s="1" t="s">
        <v>19</v>
      </c>
      <c r="I9" s="1" t="s">
        <v>57</v>
      </c>
      <c r="J9" s="1">
        <v>2382</v>
      </c>
      <c r="K9" s="1"/>
      <c r="L9" s="1">
        <v>2017</v>
      </c>
    </row>
    <row r="10" spans="1:12">
      <c r="A10" s="1">
        <f>LOOKUP(G10,{"Anhui","Beijing","Chongqing","Fujian","Gansu","Guangdong","Guangxi","Guizhou","Hainan","Hebei","Heilongjiang","Henan","Hubei","Hunan","Inner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25</v>
      </c>
      <c r="B10" s="1">
        <f>LOOKUP(H10,{"Anhui","Beijing","Chongqing","Fujian","Gansu","Guangdong","Guangxi","Guizhou","Hainan","Hebei","Heilongjiang","Henan","Hubei","Hunan","Inner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</v>
      </c>
      <c r="C10" s="1">
        <v>8000</v>
      </c>
      <c r="D10" s="1"/>
      <c r="E10" s="1"/>
      <c r="F10" s="1" t="s">
        <v>56</v>
      </c>
      <c r="G10" s="1" t="s">
        <v>30</v>
      </c>
      <c r="H10" s="1" t="s">
        <v>6</v>
      </c>
      <c r="I10" s="1" t="s">
        <v>57</v>
      </c>
      <c r="J10" s="1">
        <v>1119</v>
      </c>
      <c r="K10" s="1"/>
      <c r="L10" s="1">
        <v>2017</v>
      </c>
    </row>
    <row r="11" spans="1:12">
      <c r="A11" s="1">
        <f>LOOKUP(G11,{"Anhui","Beijing","Chongqing","Fujian","Gansu","Guangdong","Guangxi","Guizhou","Hainan","Hebei","Heilongjiang","Henan","Hubei","Hunan","Inner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15</v>
      </c>
      <c r="B11" s="1">
        <f>LOOKUP(H11,{"Anhui","Beijing","Chongqing","Fujian","Gansu","Guangdong","Guangxi","Guizhou","Hainan","Hebei","Heilongjiang","Henan","Hubei","Hunan","Inner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16</v>
      </c>
      <c r="C11" s="1">
        <v>10000</v>
      </c>
      <c r="D11" s="1"/>
      <c r="E11" s="1"/>
      <c r="F11" s="1" t="s">
        <v>56</v>
      </c>
      <c r="G11" s="1" t="s">
        <v>20</v>
      </c>
      <c r="H11" s="1" t="s">
        <v>21</v>
      </c>
      <c r="I11" s="1" t="s">
        <v>57</v>
      </c>
      <c r="J11" s="1">
        <v>1620</v>
      </c>
      <c r="K11" s="1"/>
      <c r="L11" s="1">
        <v>2017</v>
      </c>
    </row>
    <row r="12" spans="1:12">
      <c r="A12" s="1">
        <f>LOOKUP(G12,{"Anhui","Beijing","Chongqing","Fujian","Gansu","Guangdong","Guangxi","Guizhou","Hainan","Hebei","Heilongjiang","Henan","Hubei","Hunan","Inner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15</v>
      </c>
      <c r="B12" s="1">
        <f>LOOKUP(H12,{"Anhui","Beijing","Chongqing","Fujian","Gansu","Guangdong","Guangxi","Guizhou","Hainan","Hebei","Heilongjiang","Henan","Hubei","Hunan","Inner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23</v>
      </c>
      <c r="C12" s="1">
        <v>10000</v>
      </c>
      <c r="D12" s="1"/>
      <c r="E12" s="1"/>
      <c r="F12" s="1" t="s">
        <v>56</v>
      </c>
      <c r="G12" s="1" t="s">
        <v>20</v>
      </c>
      <c r="H12" s="1" t="s">
        <v>28</v>
      </c>
      <c r="I12" s="1" t="s">
        <v>57</v>
      </c>
      <c r="J12" s="1">
        <v>1234</v>
      </c>
      <c r="K12" s="1"/>
      <c r="L12" s="1">
        <v>2017</v>
      </c>
    </row>
    <row r="13" spans="1:12">
      <c r="A13" s="1">
        <f>LOOKUP(G13,{"Anhui","Beijing","Chongqing","Fujian","Gansu","Guangdong","Guangxi","Guizhou","Hainan","Hebei","Heilongjiang","Henan","Hubei","Hunan","Inner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30</v>
      </c>
      <c r="B13" s="1">
        <f>LOOKUP(H13,{"Anhui","Beijing","Chongqing","Fujian","Gansu","Guangdong","Guangxi","Guizhou","Hainan","Hebei","Heilongjiang","Henan","Hubei","Hunan","Inner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6</v>
      </c>
      <c r="C13" s="1">
        <v>5000</v>
      </c>
      <c r="D13" s="1"/>
      <c r="E13" s="1"/>
      <c r="F13" s="1" t="s">
        <v>56</v>
      </c>
      <c r="G13" s="1" t="s">
        <v>35</v>
      </c>
      <c r="H13" s="1" t="s">
        <v>11</v>
      </c>
      <c r="I13" s="1" t="s">
        <v>57</v>
      </c>
      <c r="J13" s="1">
        <v>1958</v>
      </c>
      <c r="K13" s="1"/>
      <c r="L13" s="1">
        <v>2018</v>
      </c>
    </row>
    <row r="14" spans="1:12">
      <c r="A14" s="1">
        <f>LOOKUP(G14,{"Anhui","Beijing","Chongqing","Fujian","Gansu","Guangdong","Guangxi","Guizhou","Hainan","Hebei","Heilongjiang","Henan","Hubei","Hunan","Inner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15</v>
      </c>
      <c r="B14" s="1">
        <f>LOOKUP(H14,{"Anhui","Beijing","Chongqing","Fujian","Gansu","Guangdong","Guangxi","Guizhou","Hainan","Hebei","Heilongjiang","Henan","Hubei","Hunan","Inner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23</v>
      </c>
      <c r="C14" s="1">
        <v>10000</v>
      </c>
      <c r="D14" s="1"/>
      <c r="E14" s="1"/>
      <c r="F14" s="1" t="s">
        <v>56</v>
      </c>
      <c r="G14" s="1" t="s">
        <v>20</v>
      </c>
      <c r="H14" s="1" t="s">
        <v>28</v>
      </c>
      <c r="I14" s="1" t="s">
        <v>57</v>
      </c>
      <c r="J14" s="1">
        <v>1238</v>
      </c>
      <c r="K14" s="1"/>
      <c r="L14" s="1">
        <v>2019</v>
      </c>
    </row>
    <row r="15" spans="1:12">
      <c r="A15" s="1">
        <f>LOOKUP(G15,{"Anhui","Beijing","Chongqing","Fujian","Gansu","Guangdong","Guangxi","Guizhou","Hainan","Hebei","Heilongjiang","Henan","Hubei","Hunan","Inner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30</v>
      </c>
      <c r="B15" s="1">
        <f>LOOKUP(H15,{"Anhui","Beijing","Chongqing","Fujian","Gansu","Guangdong","Guangxi","Guizhou","Hainan","Hebei","Heilongjiang","Henan","Hubei","Hunan","Inner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7</v>
      </c>
      <c r="C15" s="1">
        <v>8000</v>
      </c>
      <c r="D15" s="1"/>
      <c r="E15" s="1"/>
      <c r="F15" s="1" t="s">
        <v>56</v>
      </c>
      <c r="G15" s="1" t="s">
        <v>35</v>
      </c>
      <c r="H15" s="1" t="s">
        <v>12</v>
      </c>
      <c r="I15" s="1" t="s">
        <v>57</v>
      </c>
      <c r="J15" s="1">
        <v>900</v>
      </c>
      <c r="K15" s="1"/>
      <c r="L15" s="1">
        <v>2020</v>
      </c>
    </row>
    <row r="16" spans="1:12">
      <c r="A16" s="1">
        <f>LOOKUP(G16,{"Anhui","Beijing","Chongqing","Fujian","Gansu","Guangdong","Guangxi","Guizhou","Hainan","Hebei","Heilongjiang","Henan","Hubei","Hunan","Inner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7</v>
      </c>
      <c r="B16" s="1">
        <f>LOOKUP(H16,{"Anhui","Beijing","Chongqing","Fujian","Gansu","Guangdong","Guangxi","Guizhou","Hainan","Hebei","Heilongjiang","Henan","Hubei","Hunan","Inner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6</v>
      </c>
      <c r="C16" s="1">
        <v>5000</v>
      </c>
      <c r="D16" s="1"/>
      <c r="E16" s="1"/>
      <c r="F16" s="1" t="s">
        <v>56</v>
      </c>
      <c r="G16" s="1" t="s">
        <v>12</v>
      </c>
      <c r="H16" s="1" t="s">
        <v>11</v>
      </c>
      <c r="I16" s="1" t="s">
        <v>57</v>
      </c>
      <c r="J16" s="1">
        <v>589</v>
      </c>
      <c r="K16" s="1"/>
      <c r="L16" s="1">
        <v>2020</v>
      </c>
    </row>
    <row r="17" spans="1:12">
      <c r="A17" s="1">
        <f>LOOKUP(G17,{"Anhui","Beijing","Chongqing","Fujian","Gansu","Guangdong","Guangxi","Guizhou","Hainan","Hebei","Heilongjiang","Henan","Hubei","Hunan","Inner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21</v>
      </c>
      <c r="B17" s="1">
        <f>LOOKUP(H17,{"Anhui","Beijing","Chongqing","Fujian","Gansu","Guangdong","Guangxi","Guizhou","Hainan","Hebei","Heilongjiang","Henan","Hubei","Hunan","Inner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12</v>
      </c>
      <c r="C17" s="1">
        <v>8000</v>
      </c>
      <c r="D17" s="1"/>
      <c r="E17" s="1"/>
      <c r="F17" s="1" t="s">
        <v>56</v>
      </c>
      <c r="G17" s="1" t="s">
        <v>26</v>
      </c>
      <c r="H17" s="1" t="s">
        <v>17</v>
      </c>
      <c r="I17" s="1" t="s">
        <v>57</v>
      </c>
      <c r="J17" s="1">
        <v>1563</v>
      </c>
      <c r="K17" s="1"/>
      <c r="L17" s="1">
        <v>2020</v>
      </c>
    </row>
    <row r="18" spans="1:12">
      <c r="A18" s="1">
        <f>LOOKUP(G18,{"Anhui","Beijing","Chongqing","Fujian","Gansu","Guangdong","Guangxi","Guizhou","Hainan","Hebei","Heilongjiang","Henan","Hubei","Hunan","Inner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26</v>
      </c>
      <c r="B18" s="1">
        <f>LOOKUP(H18,{"Anhui","Beijing","Chongqing","Fujian","Gansu","Guangdong","Guangxi","Guizhou","Hainan","Hebei","Heilongjiang","Henan","Hubei","Hunan","Inner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17</v>
      </c>
      <c r="C18" s="1">
        <v>8000</v>
      </c>
      <c r="D18" s="1"/>
      <c r="E18" s="1"/>
      <c r="F18" s="1" t="s">
        <v>56</v>
      </c>
      <c r="G18" s="1" t="s">
        <v>31</v>
      </c>
      <c r="H18" s="1" t="s">
        <v>22</v>
      </c>
      <c r="I18" s="1" t="s">
        <v>57</v>
      </c>
      <c r="J18" s="1">
        <v>1696</v>
      </c>
      <c r="K18" s="1"/>
      <c r="L18" s="1">
        <v>2021</v>
      </c>
    </row>
    <row r="19" spans="1:12">
      <c r="A19" s="1">
        <f>LOOKUP(G19,{"Anhui","Beijing","Chongqing","Fujian","Gansu","Guangdong","Guangxi","Guizhou","Hainan","Hebei","Heilongjiang","Henan","Hubei","Hunan","Inner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22</v>
      </c>
      <c r="B19" s="1">
        <f>LOOKUP(H19,{"Anhui","Beijing","Chongqing","Fujian","Gansu","Guangdong","Guangxi","Guizhou","Hainan","Hebei","Heilongjiang","Henan","Hubei","Hunan","Inner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13</v>
      </c>
      <c r="C19" s="1">
        <v>8000</v>
      </c>
      <c r="D19" s="1"/>
      <c r="E19" s="1"/>
      <c r="F19" s="1" t="s">
        <v>56</v>
      </c>
      <c r="G19" s="1" t="s">
        <v>27</v>
      </c>
      <c r="H19" s="1" t="s">
        <v>18</v>
      </c>
      <c r="I19" s="1" t="s">
        <v>57</v>
      </c>
      <c r="J19" s="1">
        <v>1137</v>
      </c>
      <c r="K19" s="1"/>
      <c r="L19" s="1">
        <v>2021</v>
      </c>
    </row>
    <row r="20" spans="1:12">
      <c r="A20" s="1">
        <f>LOOKUP(G20,{"Anhui","Beijing","Chongqing","Fujian","Gansu","Guangdong","Guangxi","Guizhou","Hainan","Hebei","Heilongjiang","Henan","Hubei","Hunan","Inner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26</v>
      </c>
      <c r="B20" s="1">
        <f>LOOKUP(H20,{"Anhui","Beijing","Chongqing","Fujian","Gansu","Guangdong","Guangxi","Guizhou","Hainan","Hebei","Heilongjiang","Henan","Hubei","Hunan","Inner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16</v>
      </c>
      <c r="C20" s="1">
        <v>8000</v>
      </c>
      <c r="D20" s="1"/>
      <c r="E20" s="1"/>
      <c r="F20" s="1" t="s">
        <v>56</v>
      </c>
      <c r="G20" s="1" t="s">
        <v>31</v>
      </c>
      <c r="H20" s="1" t="s">
        <v>21</v>
      </c>
      <c r="I20" s="1" t="s">
        <v>57</v>
      </c>
      <c r="J20" s="1">
        <v>2087</v>
      </c>
      <c r="K20" s="1"/>
      <c r="L20" s="1">
        <v>2022</v>
      </c>
    </row>
    <row r="21" spans="1:12">
      <c r="A21" s="1">
        <f>LOOKUP(G21,{"Anhui","Beijing","Chongqing","Fujian","Gansu","Guangdong","Guangxi","Guizhou","Hainan","Hebei","Heilongjiang","Henan","Hubei","Hunan","Inner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26</v>
      </c>
      <c r="B21" s="1">
        <f>LOOKUP(H21,{"Anhui","Beijing","Chongqing","Fujian","Gansu","Guangdong","Guangxi","Guizhou","Hainan","Hebei","Heilongjiang","Henan","Hubei","Hunan","Inner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31</v>
      </c>
      <c r="C21" s="1">
        <v>8000</v>
      </c>
      <c r="D21" s="1"/>
      <c r="E21" s="1"/>
      <c r="F21" s="1" t="s">
        <v>56</v>
      </c>
      <c r="G21" s="1" t="s">
        <v>31</v>
      </c>
      <c r="H21" s="1" t="s">
        <v>36</v>
      </c>
      <c r="I21" s="1" t="s">
        <v>57</v>
      </c>
      <c r="J21" s="1">
        <v>2140</v>
      </c>
      <c r="K21" s="1"/>
      <c r="L21" s="1">
        <v>2022</v>
      </c>
    </row>
    <row r="22" spans="1:12">
      <c r="A22" s="1">
        <f>LOOKUP(G22,{"Anhui","Beijing","Chongqing","Fujian","Gansu","Guangdong","Guangxi","Guizhou","Hainan","Hebei","Heilongjiang","Henan","Hubei","Hunan","Inner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28</v>
      </c>
      <c r="B22" s="1">
        <f>LOOKUP(H22,{"Anhui","Beijing","Chongqing","Fujian","Gansu","Guangdong","Guangxi","Guizhou","Hainan","Hebei","Heilongjiang","Henan","Hubei","Hunan","Inner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</v>
      </c>
      <c r="C22" s="1">
        <v>12000</v>
      </c>
      <c r="D22" s="1"/>
      <c r="E22" s="1"/>
      <c r="F22" s="1" t="s">
        <v>56</v>
      </c>
      <c r="G22" s="1" t="s">
        <v>33</v>
      </c>
      <c r="H22" s="1" t="s">
        <v>6</v>
      </c>
      <c r="I22" s="1" t="s">
        <v>58</v>
      </c>
      <c r="J22" s="1">
        <v>3284</v>
      </c>
      <c r="K22" s="1"/>
      <c r="L22" s="1">
        <v>2018</v>
      </c>
    </row>
    <row r="23" spans="1:12">
      <c r="A23" s="1">
        <f>LOOKUP(G23,{"Anhui","Beijing","Chongqing","Fujian","Gansu","Guangdong","Guangxi","Guizhou","Hainan","Hebei","Heilongjiang","Henan","Hubei","Hunan","Inner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22</v>
      </c>
      <c r="B23" s="1">
        <f>LOOKUP(H23,{"Anhui","Beijing","Chongqing","Fujian","Gansu","Guangdong","Guangxi","Guizhou","Hainan","Hebei","Heilongjiang","Henan","Hubei","Hunan","Inner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12</v>
      </c>
      <c r="C23" s="1">
        <v>1110</v>
      </c>
      <c r="D23" s="1"/>
      <c r="E23" s="1"/>
      <c r="F23" s="1" t="s">
        <v>56</v>
      </c>
      <c r="G23" s="1" t="s">
        <v>27</v>
      </c>
      <c r="H23" s="1" t="s">
        <v>17</v>
      </c>
      <c r="I23" s="1" t="s">
        <v>59</v>
      </c>
      <c r="J23" s="1">
        <v>0</v>
      </c>
      <c r="K23" s="1"/>
      <c r="L23" s="1">
        <v>2009</v>
      </c>
    </row>
    <row r="24" spans="1:12">
      <c r="A24" s="1">
        <f>LOOKUP(G24,{"Anhui","Beijing","Chongqing","Fujian","Gansu","Guangdong","Guangxi","Guizhou","Hainan","Hebei","Heilongjiang","Henan","Hubei","Hunan","Inner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19</v>
      </c>
      <c r="B24" s="1">
        <f>LOOKUP(H24,{"Anhui","Beijing","Chongqing","Fujian","Gansu","Guangdong","Guangxi","Guizhou","Hainan","Hebei","Heilongjiang","Henan","Hubei","Hunan","Inner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10</v>
      </c>
      <c r="C24" s="1">
        <v>3000</v>
      </c>
      <c r="D24" s="1"/>
      <c r="E24" s="1"/>
      <c r="F24" s="1" t="s">
        <v>56</v>
      </c>
      <c r="G24" s="1" t="s">
        <v>24</v>
      </c>
      <c r="H24" s="1" t="s">
        <v>15</v>
      </c>
      <c r="I24" s="1" t="s">
        <v>60</v>
      </c>
      <c r="J24" s="1">
        <v>0</v>
      </c>
      <c r="K24" s="1"/>
      <c r="L24" s="1">
        <v>2012</v>
      </c>
    </row>
    <row r="25" spans="1:12">
      <c r="A25" s="1">
        <f>LOOKUP(G25,{"Anhui","Beijing","Chongqing","Fujian","Gansu","Guangdong","Guangxi","Guizhou","Hainan","Hebei","Heilongjiang","Henan","Hubei","Hunan","Inner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30</v>
      </c>
      <c r="B25" s="1">
        <f>LOOKUP(H25,{"Anhui","Beijing","Chongqing","Fujian","Gansu","Guangdong","Guangxi","Guizhou","Hainan","Hebei","Heilongjiang","Henan","Hubei","Hunan","Inner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7</v>
      </c>
      <c r="C25" s="1">
        <v>1000</v>
      </c>
      <c r="D25" s="1"/>
      <c r="E25" s="1"/>
      <c r="F25" s="1" t="s">
        <v>56</v>
      </c>
      <c r="G25" s="1" t="s">
        <v>35</v>
      </c>
      <c r="H25" s="1" t="s">
        <v>12</v>
      </c>
      <c r="I25" s="1" t="s">
        <v>61</v>
      </c>
      <c r="J25" s="1">
        <v>0</v>
      </c>
      <c r="K25" s="1"/>
      <c r="L25" s="1">
        <v>2016</v>
      </c>
    </row>
    <row r="26" spans="1:12">
      <c r="A26" s="1">
        <f>LOOKUP(G26,{"Anhui","Beijing","Chongqing","Fujian","Gansu","Guangdong","Guangxi","Guizhou","Hainan","Hebei","Heilongjiang","Henan","Hubei","Hunan","Inner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3</v>
      </c>
      <c r="B26" s="1">
        <f>LOOKUP(H26,{"Anhui","Beijing","Chongqing","Fujian","Gansu","Guangdong","Guangxi","Guizhou","Hainan","Hebei","Heilongjiang","Henan","Hubei","Hunan","Inner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13</v>
      </c>
      <c r="C26" s="1">
        <v>2500</v>
      </c>
      <c r="D26" s="1"/>
      <c r="E26" s="1"/>
      <c r="F26" s="1" t="s">
        <v>56</v>
      </c>
      <c r="G26" s="1" t="s">
        <v>8</v>
      </c>
      <c r="H26" s="1" t="s">
        <v>18</v>
      </c>
      <c r="I26" s="1" t="s">
        <v>62</v>
      </c>
      <c r="J26" s="1">
        <v>0</v>
      </c>
      <c r="K26" s="1"/>
      <c r="L26" s="1">
        <v>2019</v>
      </c>
    </row>
    <row r="27" spans="1:12">
      <c r="A27" s="1">
        <f>LOOKUP(G27,{"Anhui","Beijing","Chongqing","Fujian","Gansu","Guangdong","Guangxi","Guizhou","Hainan","Hebei","Heilongjiang","Henan","Hubei","Hunan","Inner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3</v>
      </c>
      <c r="B27" s="1">
        <f>LOOKUP(H27,{"Anhui","Beijing","Chongqing","Fujian","Gansu","Guangdong","Guangxi","Guizhou","Hainan","Hebei","Heilongjiang","Henan","Hubei","Hunan","Inner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13</v>
      </c>
      <c r="C27" s="1">
        <v>2500</v>
      </c>
      <c r="D27" s="1"/>
      <c r="E27" s="1"/>
      <c r="F27" s="1" t="s">
        <v>56</v>
      </c>
      <c r="G27" s="1" t="s">
        <v>8</v>
      </c>
      <c r="H27" s="1" t="s">
        <v>18</v>
      </c>
      <c r="I27" s="1" t="s">
        <v>62</v>
      </c>
      <c r="J27" s="1">
        <v>0</v>
      </c>
      <c r="K27" s="1"/>
      <c r="L27" s="1">
        <v>2019</v>
      </c>
    </row>
    <row r="28" spans="1:12">
      <c r="A28" s="1">
        <f>LOOKUP(G28,{"Anhui","Beijing","Chongqing","Fujian","Gansu","Guangdong","Guangxi","Guizhou","Hainan","Hebei","Heilongjiang","Henan","Hubei","Hunan","Inner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4</v>
      </c>
      <c r="B28" s="1">
        <f>LOOKUP(H28,{"Anhui","Beijing","Chongqing","Fujian","Gansu","Guangdong","Guangxi","Guizhou","Hainan","Hebei","Heilongjiang","Henan","Hubei","Hunan","Inner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6</v>
      </c>
      <c r="C28" s="1">
        <v>2000</v>
      </c>
      <c r="D28" s="1"/>
      <c r="E28" s="1"/>
      <c r="F28" s="1" t="s">
        <v>56</v>
      </c>
      <c r="G28" s="1" t="s">
        <v>9</v>
      </c>
      <c r="H28" s="1" t="s">
        <v>11</v>
      </c>
      <c r="I28" s="1" t="s">
        <v>63</v>
      </c>
      <c r="J28" s="1">
        <v>0</v>
      </c>
      <c r="K28" s="1"/>
      <c r="L28" s="1">
        <v>2022</v>
      </c>
    </row>
    <row r="29" spans="1:12">
      <c r="A29" s="1">
        <f>LOOKUP(G29,{"Anhui","Beijing","Chongqing","Fujian","Gansu","Guangdong","Guangxi","Guizhou","Hainan","Hebei","Heilongjiang","Henan","Hubei","Hunan","Inner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20</v>
      </c>
      <c r="B29" s="1">
        <f>LOOKUP(H29,{"Anhui","Beijing","Chongqing","Fujian","Gansu","Guangdong","Guangxi","Guizhou","Hainan","Hebei","Heilongjiang","Henan","Hubei","Hunan","Inner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23</v>
      </c>
      <c r="C29" s="1">
        <v>4000</v>
      </c>
      <c r="D29" s="1"/>
      <c r="E29" s="1"/>
      <c r="F29" s="1" t="s">
        <v>56</v>
      </c>
      <c r="G29" s="1" t="s">
        <v>25</v>
      </c>
      <c r="H29" s="1" t="s">
        <v>28</v>
      </c>
      <c r="I29" s="1" t="s">
        <v>64</v>
      </c>
      <c r="J29" s="1">
        <v>1335</v>
      </c>
      <c r="K29" s="1"/>
      <c r="L29" s="1">
        <v>2011</v>
      </c>
    </row>
    <row r="30" spans="1:12">
      <c r="A30" s="1">
        <f>LOOKUP(G30,{"Anhui","Beijing","Chongqing","Fujian","Gansu","Guangdong","Guangxi","Guizhou","Hainan","Hebei","Heilongjiang","Henan","Hubei","Hunan","Inner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13</v>
      </c>
      <c r="B30" s="1">
        <f>LOOKUP(H30,{"Anhui","Beijing","Chongqing","Fujian","Gansu","Guangdong","Guangxi","Guizhou","Hainan","Hebei","Heilongjiang","Henan","Hubei","Hunan","Inner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24</v>
      </c>
      <c r="C30" s="1">
        <v>1200</v>
      </c>
      <c r="D30" s="1"/>
      <c r="E30" s="1"/>
      <c r="F30" s="1" t="s">
        <v>56</v>
      </c>
      <c r="G30" s="1" t="s">
        <v>18</v>
      </c>
      <c r="H30" s="1" t="s">
        <v>29</v>
      </c>
      <c r="I30" s="1" t="s">
        <v>65</v>
      </c>
      <c r="J30" s="1">
        <v>1106</v>
      </c>
      <c r="K30" s="1"/>
      <c r="L30" s="1">
        <v>1990</v>
      </c>
    </row>
    <row r="31" spans="1:12">
      <c r="A31" s="1">
        <f>LOOKUP(G31,{"Anhui","Beijing","Chongqing","Fujian","Gansu","Guangdong","Guangxi","Guizhou","Hainan","Hebei","Heilongjiang","Henan","Hubei","Hunan","Inner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8</v>
      </c>
      <c r="B31" s="1">
        <f>LOOKUP(H31,{"Anhui","Beijing","Chongqing","Fujian","Gansu","Guangdong","Guangxi","Guizhou","Hainan","Hebei","Heilongjiang","Henan","Hubei","Hunan","Inner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6</v>
      </c>
      <c r="C31" s="1">
        <v>1800</v>
      </c>
      <c r="D31" s="1"/>
      <c r="E31" s="1"/>
      <c r="F31" s="1" t="s">
        <v>56</v>
      </c>
      <c r="G31" s="1" t="s">
        <v>13</v>
      </c>
      <c r="H31" s="1" t="s">
        <v>11</v>
      </c>
      <c r="I31" s="1" t="s">
        <v>65</v>
      </c>
      <c r="J31" s="1">
        <v>963</v>
      </c>
      <c r="K31" s="1"/>
      <c r="L31" s="1">
        <v>2001</v>
      </c>
    </row>
    <row r="32" spans="1:12">
      <c r="A32" s="1">
        <f>LOOKUP(G32,{"Anhui","Beijing","Chongqing","Fujian","Gansu","Guangdong","Guangxi","Guizhou","Hainan","Hebei","Heilongjiang","Henan","Hubei","Hunan","Inner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13</v>
      </c>
      <c r="B32" s="1">
        <f>LOOKUP(H32,{"Anhui","Beijing","Chongqing","Fujian","Gansu","Guangdong","Guangxi","Guizhou","Hainan","Hebei","Heilongjiang","Henan","Hubei","Hunan","Inner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16</v>
      </c>
      <c r="C32" s="1">
        <v>3000</v>
      </c>
      <c r="D32" s="1"/>
      <c r="E32" s="1"/>
      <c r="F32" s="1" t="s">
        <v>56</v>
      </c>
      <c r="G32" s="1" t="s">
        <v>18</v>
      </c>
      <c r="H32" s="1" t="s">
        <v>21</v>
      </c>
      <c r="I32" s="1" t="s">
        <v>65</v>
      </c>
      <c r="J32" s="1">
        <v>860</v>
      </c>
      <c r="K32" s="1"/>
      <c r="L32" s="1">
        <v>2003</v>
      </c>
    </row>
    <row r="33" spans="1:12">
      <c r="A33" s="1">
        <f>LOOKUP(G33,{"Anhui","Beijing","Chongqing","Fujian","Gansu","Guangdong","Guangxi","Guizhou","Hainan","Hebei","Heilongjiang","Henan","Hubei","Hunan","Inner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13</v>
      </c>
      <c r="B33" s="1">
        <f>LOOKUP(H33,{"Anhui","Beijing","Chongqing","Fujian","Gansu","Guangdong","Guangxi","Guizhou","Hainan","Hebei","Heilongjiang","Henan","Hubei","Hunan","Inner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6</v>
      </c>
      <c r="C33" s="1">
        <v>3000</v>
      </c>
      <c r="D33" s="1"/>
      <c r="E33" s="1"/>
      <c r="F33" s="1" t="s">
        <v>56</v>
      </c>
      <c r="G33" s="1" t="s">
        <v>18</v>
      </c>
      <c r="H33" s="1" t="s">
        <v>11</v>
      </c>
      <c r="I33" s="1" t="s">
        <v>65</v>
      </c>
      <c r="J33" s="1">
        <v>941</v>
      </c>
      <c r="K33" s="1"/>
      <c r="L33" s="1">
        <v>2004</v>
      </c>
    </row>
    <row r="34" spans="1:12">
      <c r="A34" s="1">
        <f>LOOKUP(G34,{"Anhui","Beijing","Chongqing","Fujian","Gansu","Guangdong","Guangxi","Guizhou","Hainan","Hebei","Heilongjiang","Henan","Hubei","Hunan","Inner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13</v>
      </c>
      <c r="B34" s="1">
        <f>LOOKUP(H34,{"Anhui","Beijing","Chongqing","Fujian","Gansu","Guangdong","Guangxi","Guizhou","Hainan","Hebei","Heilongjiang","Henan","Hubei","Hunan","Inner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24</v>
      </c>
      <c r="C34" s="1">
        <v>3000</v>
      </c>
      <c r="D34" s="1"/>
      <c r="E34" s="1"/>
      <c r="F34" s="1" t="s">
        <v>56</v>
      </c>
      <c r="G34" s="1" t="s">
        <v>18</v>
      </c>
      <c r="H34" s="1" t="s">
        <v>29</v>
      </c>
      <c r="I34" s="1" t="s">
        <v>65</v>
      </c>
      <c r="J34" s="1">
        <v>1060</v>
      </c>
      <c r="K34" s="1"/>
      <c r="L34" s="1">
        <v>2006</v>
      </c>
    </row>
    <row r="35" spans="1:12">
      <c r="A35" s="1">
        <f>LOOKUP(G35,{"Anhui","Beijing","Chongqing","Fujian","Gansu","Guangdong","Guangxi","Guizhou","Hainan","Hebei","Heilongjiang","Henan","Hubei","Hunan","Inner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8</v>
      </c>
      <c r="B35" s="1">
        <f>LOOKUP(H35,{"Anhui","Beijing","Chongqing","Fujian","Gansu","Guangdong","Guangxi","Guizhou","Hainan","Hebei","Heilongjiang","Henan","Hubei","Hunan","Inner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6</v>
      </c>
      <c r="C35" s="1">
        <v>3000</v>
      </c>
      <c r="D35" s="1"/>
      <c r="E35" s="1"/>
      <c r="F35" s="1" t="s">
        <v>56</v>
      </c>
      <c r="G35" s="1" t="s">
        <v>13</v>
      </c>
      <c r="H35" s="1" t="s">
        <v>11</v>
      </c>
      <c r="I35" s="1" t="s">
        <v>65</v>
      </c>
      <c r="J35" s="1">
        <v>1194</v>
      </c>
      <c r="K35" s="1"/>
      <c r="L35" s="1">
        <v>2007</v>
      </c>
    </row>
    <row r="36" spans="1:12">
      <c r="A36" s="1">
        <f>LOOKUP(G36,{"Anhui","Beijing","Chongqing","Fujian","Gansu","Guangdong","Guangxi","Guizhou","Hainan","Hebei","Heilongjiang","Henan","Hubei","Hunan","Inner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26</v>
      </c>
      <c r="B36" s="1">
        <f>LOOKUP(H36,{"Anhui","Beijing","Chongqing","Fujian","Gansu","Guangdong","Guangxi","Guizhou","Hainan","Hebei","Heilongjiang","Henan","Hubei","Hunan","Inner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22</v>
      </c>
      <c r="C36" s="1">
        <v>3000</v>
      </c>
      <c r="D36" s="1"/>
      <c r="E36" s="1"/>
      <c r="F36" s="1" t="s">
        <v>56</v>
      </c>
      <c r="G36" s="1" t="s">
        <v>31</v>
      </c>
      <c r="H36" s="1" t="s">
        <v>27</v>
      </c>
      <c r="I36" s="1" t="s">
        <v>65</v>
      </c>
      <c r="J36" s="1">
        <v>514</v>
      </c>
      <c r="K36" s="1"/>
      <c r="L36" s="1">
        <v>2010</v>
      </c>
    </row>
    <row r="37" spans="1:12">
      <c r="A37" s="1">
        <f>LOOKUP(G37,{"Anhui","Beijing","Chongqing","Fujian","Gansu","Guangdong","Guangxi","Guizhou","Hainan","Hebei","Heilongjiang","Henan","Hubei","Hunan","Inner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15</v>
      </c>
      <c r="B37" s="1">
        <f>LOOKUP(H37,{"Anhui","Beijing","Chongqing","Fujian","Gansu","Guangdong","Guangxi","Guizhou","Hainan","Hebei","Heilongjiang","Henan","Hubei","Hunan","Inner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19</v>
      </c>
      <c r="C37" s="1">
        <v>3000</v>
      </c>
      <c r="D37" s="1"/>
      <c r="E37" s="1"/>
      <c r="F37" s="1" t="s">
        <v>56</v>
      </c>
      <c r="G37" s="1" t="s">
        <v>20</v>
      </c>
      <c r="H37" s="1" t="s">
        <v>24</v>
      </c>
      <c r="I37" s="1" t="s">
        <v>65</v>
      </c>
      <c r="J37" s="1">
        <v>913</v>
      </c>
      <c r="K37" s="1"/>
      <c r="L37" s="1">
        <v>2010</v>
      </c>
    </row>
    <row r="38" spans="1:12">
      <c r="A38" s="1">
        <f>LOOKUP(G38,{"Anhui","Beijing","Chongqing","Fujian","Gansu","Guangdong","Guangxi","Guizhou","Hainan","Hebei","Heilongjiang","Henan","Hubei","Hunan","Inner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13</v>
      </c>
      <c r="B38" s="1">
        <f>LOOKUP(H38,{"Anhui","Beijing","Chongqing","Fujian","Gansu","Guangdong","Guangxi","Guizhou","Hainan","Hebei","Heilongjiang","Henan","Hubei","Hunan","Inner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24</v>
      </c>
      <c r="C38" s="1">
        <v>3000</v>
      </c>
      <c r="D38" s="1"/>
      <c r="E38" s="1"/>
      <c r="F38" s="1" t="s">
        <v>56</v>
      </c>
      <c r="G38" s="1" t="s">
        <v>18</v>
      </c>
      <c r="H38" s="1" t="s">
        <v>29</v>
      </c>
      <c r="I38" s="1" t="s">
        <v>65</v>
      </c>
      <c r="J38" s="1">
        <v>978</v>
      </c>
      <c r="K38" s="1"/>
      <c r="L38" s="1">
        <v>2011</v>
      </c>
    </row>
    <row r="39" spans="1:12">
      <c r="A39" s="1">
        <f>LOOKUP(G39,{"Anhui","Beijing","Chongqing","Fujian","Gansu","Guangdong","Guangxi","Guizhou","Hainan","Hebei","Heilongjiang","Henan","Hubei","Hunan","Inner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30</v>
      </c>
      <c r="B39" s="1">
        <f>LOOKUP(H39,{"Anhui","Beijing","Chongqing","Fujian","Gansu","Guangdong","Guangxi","Guizhou","Hainan","Hebei","Heilongjiang","Henan","Hubei","Hunan","Inner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6</v>
      </c>
      <c r="C39" s="1">
        <v>6400</v>
      </c>
      <c r="D39" s="1"/>
      <c r="E39" s="1"/>
      <c r="F39" s="1" t="s">
        <v>56</v>
      </c>
      <c r="G39" s="1" t="s">
        <v>35</v>
      </c>
      <c r="H39" s="1" t="s">
        <v>11</v>
      </c>
      <c r="I39" s="1" t="s">
        <v>65</v>
      </c>
      <c r="J39" s="1">
        <v>1225</v>
      </c>
      <c r="K39" s="1"/>
      <c r="L39" s="1">
        <v>2013</v>
      </c>
    </row>
    <row r="40" spans="1:12">
      <c r="A40" s="1">
        <f>LOOKUP(G40,{"Anhui","Beijing","Chongqing","Fujian","Gansu","Guangdong","Guangxi","Guizhou","Hainan","Hebei","Heilongjiang","Henan","Hubei","Hunan","Inner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30</v>
      </c>
      <c r="B40" s="1">
        <f>LOOKUP(H40,{"Anhui","Beijing","Chongqing","Fujian","Gansu","Guangdong","Guangxi","Guizhou","Hainan","Hebei","Heilongjiang","Henan","Hubei","Hunan","Inner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7</v>
      </c>
      <c r="C40" s="1">
        <v>3200</v>
      </c>
      <c r="D40" s="1"/>
      <c r="E40" s="1"/>
      <c r="F40" s="1" t="s">
        <v>56</v>
      </c>
      <c r="G40" s="1" t="s">
        <v>35</v>
      </c>
      <c r="H40" s="1" t="s">
        <v>12</v>
      </c>
      <c r="I40" s="1" t="s">
        <v>65</v>
      </c>
      <c r="J40" s="1">
        <v>1105</v>
      </c>
      <c r="K40" s="1"/>
      <c r="L40" s="1">
        <v>2016</v>
      </c>
    </row>
    <row r="41" spans="1:12">
      <c r="A41" s="1">
        <f>LOOKUP(G41,{"Anhui","Beijing","Chongqing","Fujian","Gansu","Guangdong","Guangxi","Guizhou","Hainan","Hebei","Heilongjiang","Henan","Hubei","Hunan","Inner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30</v>
      </c>
      <c r="B41" s="1">
        <f>LOOKUP(H41,{"Anhui","Beijing","Chongqing","Fujian","Gansu","Guangdong","Guangxi","Guizhou","Hainan","Hebei","Heilongjiang","Henan","Hubei","Hunan","Inner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8</v>
      </c>
      <c r="C41" s="1">
        <v>3000</v>
      </c>
      <c r="D41" s="1"/>
      <c r="E41" s="1"/>
      <c r="F41" s="1" t="s">
        <v>56</v>
      </c>
      <c r="G41" s="1" t="s">
        <v>35</v>
      </c>
      <c r="H41" s="1" t="s">
        <v>13</v>
      </c>
      <c r="I41" s="1" t="s">
        <v>65</v>
      </c>
      <c r="J41" s="1">
        <v>391</v>
      </c>
      <c r="K41" s="1"/>
      <c r="L41" s="1">
        <v>2020</v>
      </c>
    </row>
    <row r="42" spans="1:12">
      <c r="A42" s="1">
        <f>LOOKUP(G42,{"Anhui","Beijing","Chongqing","Fujian","Gansu","Guangdong","Guangxi","Guizhou","Hainan","Hebei","Heilongjiang","Henan","Hubei","Hunan","Inner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8</v>
      </c>
      <c r="B42" s="1">
        <f>LOOKUP(H42,{"Anhui","Beijing","Chongqing","Fujian","Gansu","Guangdong","Guangxi","Guizhou","Hainan","Hebei","Heilongjiang","Henan","Hubei","Hunan","Inner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6</v>
      </c>
      <c r="C42" s="1">
        <v>3000</v>
      </c>
      <c r="D42" s="1"/>
      <c r="E42" s="1"/>
      <c r="F42" s="1" t="s">
        <v>56</v>
      </c>
      <c r="G42" s="1" t="s">
        <v>13</v>
      </c>
      <c r="H42" s="1" t="s">
        <v>11</v>
      </c>
      <c r="I42" s="1" t="s">
        <v>65</v>
      </c>
      <c r="J42" s="1">
        <v>886</v>
      </c>
      <c r="K42" s="1"/>
      <c r="L42" s="1">
        <v>2020</v>
      </c>
    </row>
    <row r="43" spans="1:12">
      <c r="A43" s="1">
        <f>LOOKUP(G43,{"Anhui","Beijing","Chongqing","Fujian","Gansu","Guangdong","Guangxi","Guizhou","Hainan","Hebei","Heilongjiang","Henan","Hubei","Hunan","Inner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21</v>
      </c>
      <c r="B43" s="1">
        <f>LOOKUP(H43,{"Anhui","Beijing","Chongqing","Fujian","Gansu","Guangdong","Guangxi","Guizhou","Hainan","Hebei","Heilongjiang","Henan","Hubei","Hunan","Inner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29</v>
      </c>
      <c r="C43" s="1">
        <v>1200</v>
      </c>
      <c r="D43" s="1"/>
      <c r="E43" s="1"/>
      <c r="F43" s="1" t="s">
        <v>56</v>
      </c>
      <c r="G43" s="1" t="s">
        <v>26</v>
      </c>
      <c r="H43" s="1" t="s">
        <v>34</v>
      </c>
      <c r="I43" s="1" t="s">
        <v>66</v>
      </c>
      <c r="J43" s="1">
        <v>1034</v>
      </c>
      <c r="K43" s="1"/>
      <c r="L43" s="1">
        <v>2011</v>
      </c>
    </row>
    <row r="44" spans="1:12">
      <c r="A44" s="1">
        <f>LOOKUP(G44,{"Anhui","Beijing","Chongqing","Fujian","Gansu","Guangdong","Guangxi","Guizhou","Hainan","Hebei","Heilongjiang","Henan","Hubei","Hunan","Inner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25</v>
      </c>
      <c r="B44" s="1">
        <f>LOOKUP(H44,{"Anhui","Beijing","Chongqing","Fujian","Gansu","Guangdong","Guangxi","Guizhou","Hainan","Hebei","Heilongjiang","Henan","Hubei","Hunan","Inner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12</v>
      </c>
      <c r="C44" s="1">
        <v>5000</v>
      </c>
      <c r="D44" s="1"/>
      <c r="E44" s="1"/>
      <c r="F44" s="1" t="s">
        <v>67</v>
      </c>
      <c r="G44" s="1" t="s">
        <v>30</v>
      </c>
      <c r="H44" s="1" t="s">
        <v>17</v>
      </c>
      <c r="I44" s="1">
        <v>1000</v>
      </c>
      <c r="J44" s="1">
        <v>360</v>
      </c>
      <c r="K44" s="1"/>
      <c r="L44" s="1">
        <v>2009</v>
      </c>
    </row>
    <row r="45" spans="1:12">
      <c r="A45" s="1">
        <f>LOOKUP(G45,{"Anhui","Beijing","Chongqing","Fujian","Gansu","Guangdong","Guangxi","Guizhou","Hainan","Hebei","Heilongjiang","Henan","Hubei","Hunan","Inner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12</v>
      </c>
      <c r="B45" s="1">
        <f>LOOKUP(H45,{"Anhui","Beijing","Chongqing","Fujian","Gansu","Guangdong","Guangxi","Guizhou","Hainan","Hebei","Heilongjiang","Henan","Hubei","Hunan","Inner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13</v>
      </c>
      <c r="C45" s="1">
        <v>5000</v>
      </c>
      <c r="D45" s="1"/>
      <c r="E45" s="1"/>
      <c r="F45" s="1" t="s">
        <v>67</v>
      </c>
      <c r="G45" s="1" t="s">
        <v>17</v>
      </c>
      <c r="H45" s="1" t="s">
        <v>18</v>
      </c>
      <c r="I45" s="1">
        <v>1000</v>
      </c>
      <c r="J45" s="1">
        <v>291</v>
      </c>
      <c r="K45" s="1"/>
      <c r="L45" s="1">
        <v>2009</v>
      </c>
    </row>
    <row r="46" spans="1:12">
      <c r="A46" s="1">
        <f>LOOKUP(G46,{"Anhui","Beijing","Chongqing","Fujian","Gansu","Guangdong","Guangxi","Guizhou","Hainan","Hebei","Heilongjiang","Henan","Hubei","Hunan","Inner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</v>
      </c>
      <c r="B46" s="1">
        <f>LOOKUP(H46,{"Anhui","Beijing","Chongqing","Fujian","Gansu","Guangdong","Guangxi","Guizhou","Hainan","Hebei","Heilongjiang","Henan","Hubei","Hunan","Inner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31</v>
      </c>
      <c r="C46" s="1">
        <v>10000</v>
      </c>
      <c r="D46" s="1"/>
      <c r="E46" s="1"/>
      <c r="F46" s="1" t="s">
        <v>67</v>
      </c>
      <c r="G46" s="1" t="s">
        <v>6</v>
      </c>
      <c r="H46" s="1" t="s">
        <v>36</v>
      </c>
      <c r="I46" s="1">
        <v>1000</v>
      </c>
      <c r="J46" s="1">
        <v>200</v>
      </c>
      <c r="K46" s="1"/>
      <c r="L46" s="1">
        <v>2013</v>
      </c>
    </row>
    <row r="47" spans="1:12">
      <c r="A47" s="1">
        <f>LOOKUP(G47,{"Anhui","Beijing","Chongqing","Fujian","Gansu","Guangdong","Guangxi","Guizhou","Hainan","Hebei","Heilongjiang","Henan","Hubei","Hunan","Inner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31</v>
      </c>
      <c r="B47" s="1">
        <f>LOOKUP(H47,{"Anhui","Beijing","Chongqing","Fujian","Gansu","Guangdong","Guangxi","Guizhou","Hainan","Hebei","Heilongjiang","Henan","Hubei","Hunan","Inner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24</v>
      </c>
      <c r="C47" s="1">
        <v>10000</v>
      </c>
      <c r="D47" s="1"/>
      <c r="E47" s="1"/>
      <c r="F47" s="1" t="s">
        <v>67</v>
      </c>
      <c r="G47" s="1" t="s">
        <v>36</v>
      </c>
      <c r="H47" s="1" t="s">
        <v>29</v>
      </c>
      <c r="I47" s="1">
        <v>1000</v>
      </c>
      <c r="J47" s="1">
        <v>200</v>
      </c>
      <c r="K47" s="1"/>
      <c r="L47" s="1">
        <v>2013</v>
      </c>
    </row>
    <row r="48" spans="1:12">
      <c r="A48" s="1">
        <f>LOOKUP(G48,{"Anhui","Beijing","Chongqing","Fujian","Gansu","Guangdong","Guangxi","Guizhou","Hainan","Hebei","Heilongjiang","Henan","Hubei","Hunan","Inner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31</v>
      </c>
      <c r="B48" s="1">
        <f>LOOKUP(H48,{"Anhui","Beijing","Chongqing","Fujian","Gansu","Guangdong","Guangxi","Guizhou","Hainan","Hebei","Heilongjiang","Henan","Hubei","Hunan","Inner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4</v>
      </c>
      <c r="C48" s="1">
        <v>10000</v>
      </c>
      <c r="D48" s="1"/>
      <c r="E48" s="1"/>
      <c r="F48" s="1" t="s">
        <v>67</v>
      </c>
      <c r="G48" s="1" t="s">
        <v>36</v>
      </c>
      <c r="H48" s="1" t="s">
        <v>9</v>
      </c>
      <c r="I48" s="1">
        <v>1000</v>
      </c>
      <c r="J48" s="1">
        <v>603</v>
      </c>
      <c r="K48" s="1"/>
      <c r="L48" s="1">
        <v>2014</v>
      </c>
    </row>
    <row r="49" spans="1:12">
      <c r="A49" s="1">
        <f>LOOKUP(G49,{"Anhui","Beijing","Chongqing","Fujian","Gansu","Guangdong","Guangxi","Guizhou","Hainan","Hebei","Heilongjiang","Henan","Hubei","Hunan","Inner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15</v>
      </c>
      <c r="B49" s="1">
        <f>LOOKUP(H49,{"Anhui","Beijing","Chongqing","Fujian","Gansu","Guangdong","Guangxi","Guizhou","Hainan","Hebei","Heilongjiang","Henan","Hubei","Hunan","Inner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10</v>
      </c>
      <c r="C49" s="1">
        <v>10000</v>
      </c>
      <c r="D49" s="1"/>
      <c r="E49" s="1"/>
      <c r="F49" s="1" t="s">
        <v>67</v>
      </c>
      <c r="G49" s="1" t="s">
        <v>20</v>
      </c>
      <c r="H49" s="1" t="s">
        <v>15</v>
      </c>
      <c r="I49" s="1">
        <v>1000</v>
      </c>
      <c r="J49" s="1">
        <v>300</v>
      </c>
      <c r="K49" s="1"/>
      <c r="L49" s="1">
        <v>2016</v>
      </c>
    </row>
    <row r="50" spans="1:12">
      <c r="A50" s="1">
        <f>LOOKUP(G50,{"Anhui","Beijing","Chongqing","Fujian","Gansu","Guangdong","Guangxi","Guizhou","Hainan","Hebei","Heilongjiang","Henan","Hubei","Hunan","Inner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10</v>
      </c>
      <c r="B50" s="1">
        <f>LOOKUP(H50,{"Anhui","Beijing","Chongqing","Fujian","Gansu","Guangdong","Guangxi","Guizhou","Hainan","Hebei","Heilongjiang","Henan","Hubei","Hunan","Inner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23</v>
      </c>
      <c r="C50" s="1">
        <v>10000</v>
      </c>
      <c r="D50" s="1"/>
      <c r="E50" s="1"/>
      <c r="F50" s="1" t="s">
        <v>67</v>
      </c>
      <c r="G50" s="1" t="s">
        <v>15</v>
      </c>
      <c r="H50" s="1" t="s">
        <v>28</v>
      </c>
      <c r="I50" s="1">
        <v>1000</v>
      </c>
      <c r="J50" s="1">
        <v>430</v>
      </c>
      <c r="K50" s="1"/>
      <c r="L50" s="1">
        <v>2016</v>
      </c>
    </row>
    <row r="51" spans="1:12">
      <c r="A51" s="1">
        <f>LOOKUP(G51,{"Anhui","Beijing","Chongqing","Fujian","Gansu","Guangdong","Guangxi","Guizhou","Hainan","Hebei","Heilongjiang","Henan","Hubei","Hunan","Inner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</v>
      </c>
      <c r="B51" s="1">
        <f>LOOKUP(H51,{"Anhui","Beijing","Chongqing","Fujian","Gansu","Guangdong","Guangxi","Guizhou","Hainan","Hebei","Heilongjiang","Henan","Hubei","Hunan","Inner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16</v>
      </c>
      <c r="C51" s="1">
        <v>12000</v>
      </c>
      <c r="D51" s="1"/>
      <c r="E51" s="1"/>
      <c r="F51" s="1" t="s">
        <v>67</v>
      </c>
      <c r="G51" s="1" t="s">
        <v>6</v>
      </c>
      <c r="H51" s="1" t="s">
        <v>21</v>
      </c>
      <c r="I51" s="1">
        <v>1000</v>
      </c>
      <c r="J51" s="1">
        <v>259</v>
      </c>
      <c r="K51" s="1"/>
      <c r="L51" s="1">
        <v>2016</v>
      </c>
    </row>
    <row r="52" spans="1:12">
      <c r="A52" s="1">
        <f>LOOKUP(G52,{"Anhui","Beijing","Chongqing","Fujian","Gansu","Guangdong","Guangxi","Guizhou","Hainan","Hebei","Heilongjiang","Henan","Hubei","Hunan","Inner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16</v>
      </c>
      <c r="B52" s="1">
        <f>LOOKUP(H52,{"Anhui","Beijing","Chongqing","Fujian","Gansu","Guangdong","Guangxi","Guizhou","Hainan","Hebei","Heilongjiang","Henan","Hubei","Hunan","Inner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24</v>
      </c>
      <c r="C52" s="1">
        <v>12000</v>
      </c>
      <c r="D52" s="1"/>
      <c r="E52" s="1"/>
      <c r="F52" s="1" t="s">
        <v>67</v>
      </c>
      <c r="G52" s="1" t="s">
        <v>21</v>
      </c>
      <c r="H52" s="1" t="s">
        <v>29</v>
      </c>
      <c r="I52" s="1">
        <v>1000</v>
      </c>
      <c r="J52" s="1">
        <v>520</v>
      </c>
      <c r="K52" s="1"/>
      <c r="L52" s="1">
        <v>2016</v>
      </c>
    </row>
    <row r="53" spans="1:12">
      <c r="A53" s="1">
        <f>LOOKUP(G53,{"Anhui","Beijing","Chongqing","Fujian","Gansu","Guangdong","Guangxi","Guizhou","Hainan","Hebei","Heilongjiang","Henan","Hubei","Hunan","Inner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15</v>
      </c>
      <c r="B53" s="1">
        <f>LOOKUP(H53,{"Anhui","Beijing","Chongqing","Fujian","Gansu","Guangdong","Guangxi","Guizhou","Hainan","Hebei","Heilongjiang","Henan","Hubei","Hunan","Inner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25</v>
      </c>
      <c r="C53" s="1">
        <v>10000</v>
      </c>
      <c r="D53" s="1"/>
      <c r="E53" s="1"/>
      <c r="F53" s="1" t="s">
        <v>67</v>
      </c>
      <c r="G53" s="1" t="s">
        <v>20</v>
      </c>
      <c r="H53" s="1" t="s">
        <v>30</v>
      </c>
      <c r="I53" s="1">
        <v>1000</v>
      </c>
      <c r="J53" s="1">
        <v>200</v>
      </c>
      <c r="K53" s="1"/>
      <c r="L53" s="1">
        <v>2016</v>
      </c>
    </row>
    <row r="54" spans="1:12">
      <c r="A54" s="1">
        <f>LOOKUP(G54,{"Anhui","Beijing","Chongqing","Fujian","Gansu","Guangdong","Guangxi","Guizhou","Hainan","Hebei","Heilongjiang","Henan","Hubei","Hunan","Inner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25</v>
      </c>
      <c r="B54" s="1">
        <f>LOOKUP(H54,{"Anhui","Beijing","Chongqing","Fujian","Gansu","Guangdong","Guangxi","Guizhou","Hainan","Hebei","Heilongjiang","Henan","Hubei","Hunan","Inner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10</v>
      </c>
      <c r="C54" s="1">
        <v>10000</v>
      </c>
      <c r="D54" s="1"/>
      <c r="E54" s="1"/>
      <c r="F54" s="1" t="s">
        <v>67</v>
      </c>
      <c r="G54" s="1" t="s">
        <v>30</v>
      </c>
      <c r="H54" s="1" t="s">
        <v>15</v>
      </c>
      <c r="I54" s="1">
        <v>1000</v>
      </c>
      <c r="J54" s="1">
        <v>300</v>
      </c>
      <c r="K54" s="1"/>
      <c r="L54" s="1">
        <v>2016</v>
      </c>
    </row>
    <row r="55" spans="1:12">
      <c r="A55" s="1">
        <f>LOOKUP(G55,{"Anhui","Beijing","Chongqing","Fujian","Gansu","Guangdong","Guangxi","Guizhou","Hainan","Hebei","Heilongjiang","Henan","Hubei","Hunan","Inner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10</v>
      </c>
      <c r="B55" s="1">
        <f>LOOKUP(H55,{"Anhui","Beijing","Chongqing","Fujian","Gansu","Guangdong","Guangxi","Guizhou","Hainan","Hebei","Heilongjiang","Henan","Hubei","Hunan","Inner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27</v>
      </c>
      <c r="C55" s="1">
        <v>10000</v>
      </c>
      <c r="D55" s="1"/>
      <c r="E55" s="1"/>
      <c r="F55" s="1" t="s">
        <v>67</v>
      </c>
      <c r="G55" s="1" t="s">
        <v>15</v>
      </c>
      <c r="H55" s="1" t="s">
        <v>32</v>
      </c>
      <c r="I55" s="1">
        <v>1000</v>
      </c>
      <c r="J55" s="1">
        <v>100</v>
      </c>
      <c r="K55" s="1"/>
      <c r="L55" s="1">
        <v>2016</v>
      </c>
    </row>
    <row r="56" spans="1:12">
      <c r="A56" s="1">
        <f>LOOKUP(G56,{"Anhui","Beijing","Chongqing","Fujian","Gansu","Guangdong","Guangxi","Guizhou","Hainan","Hebei","Heilongjiang","Henan","Hubei","Hunan","Inner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22</v>
      </c>
      <c r="B56" s="1">
        <f>LOOKUP(H56,{"Anhui","Beijing","Chongqing","Fujian","Gansu","Guangdong","Guangxi","Guizhou","Hainan","Hebei","Heilongjiang","Henan","Hubei","Hunan","Inner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25</v>
      </c>
      <c r="C56" s="1">
        <v>10000</v>
      </c>
      <c r="D56" s="1"/>
      <c r="E56" s="1"/>
      <c r="F56" s="1" t="s">
        <v>67</v>
      </c>
      <c r="G56" s="1" t="s">
        <v>27</v>
      </c>
      <c r="H56" s="1" t="s">
        <v>30</v>
      </c>
      <c r="I56" s="1">
        <v>1000</v>
      </c>
      <c r="J56" s="1">
        <v>300</v>
      </c>
      <c r="K56" s="1"/>
      <c r="L56" s="1">
        <v>2017</v>
      </c>
    </row>
    <row r="57" spans="1:12">
      <c r="A57" s="1">
        <f>LOOKUP(G57,{"Anhui","Beijing","Chongqing","Fujian","Gansu","Guangdong","Guangxi","Guizhou","Hainan","Hebei","Heilongjiang","Henan","Hubei","Hunan","Inner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25</v>
      </c>
      <c r="B57" s="1">
        <f>LOOKUP(H57,{"Anhui","Beijing","Chongqing","Fujian","Gansu","Guangdong","Guangxi","Guizhou","Hainan","Hebei","Heilongjiang","Henan","Hubei","Hunan","Inner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10</v>
      </c>
      <c r="C57" s="1">
        <v>10000</v>
      </c>
      <c r="D57" s="1"/>
      <c r="E57" s="1"/>
      <c r="F57" s="1" t="s">
        <v>67</v>
      </c>
      <c r="G57" s="1" t="s">
        <v>30</v>
      </c>
      <c r="H57" s="1" t="s">
        <v>15</v>
      </c>
      <c r="I57" s="1">
        <v>1000</v>
      </c>
      <c r="J57" s="1">
        <v>400</v>
      </c>
      <c r="K57" s="1"/>
      <c r="L57" s="1">
        <v>2017</v>
      </c>
    </row>
    <row r="58" spans="1:12">
      <c r="A58" s="1">
        <f>LOOKUP(G58,{"Anhui","Beijing","Chongqing","Fujian","Gansu","Guangdong","Guangxi","Guizhou","Hainan","Hebei","Heilongjiang","Henan","Hubei","Hunan","Inner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10</v>
      </c>
      <c r="B58" s="1">
        <f>LOOKUP(H58,{"Anhui","Beijing","Chongqing","Fujian","Gansu","Guangdong","Guangxi","Guizhou","Hainan","Hebei","Heilongjiang","Henan","Hubei","Hunan","Inner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23</v>
      </c>
      <c r="C58" s="1">
        <v>10000</v>
      </c>
      <c r="D58" s="1"/>
      <c r="E58" s="1"/>
      <c r="F58" s="1" t="s">
        <v>67</v>
      </c>
      <c r="G58" s="1" t="s">
        <v>15</v>
      </c>
      <c r="H58" s="1" t="s">
        <v>28</v>
      </c>
      <c r="I58" s="1">
        <v>1000</v>
      </c>
      <c r="J58" s="1">
        <v>350</v>
      </c>
      <c r="K58" s="1"/>
      <c r="L58" s="1">
        <v>2017</v>
      </c>
    </row>
    <row r="59" spans="1:12">
      <c r="A59" s="1">
        <f>LOOKUP(G59,{"Anhui","Beijing","Chongqing","Fujian","Gansu","Guangdong","Guangxi","Guizhou","Hainan","Hebei","Heilongjiang","Henan","Hubei","Hunan","Inner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23</v>
      </c>
      <c r="B59" s="1">
        <f>LOOKUP(H59,{"Anhui","Beijing","Chongqing","Fujian","Gansu","Guangdong","Guangxi","Guizhou","Hainan","Hebei","Heilongjiang","Henan","Hubei","Hunan","Inner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10</v>
      </c>
      <c r="C59" s="1">
        <v>10000</v>
      </c>
      <c r="D59" s="1"/>
      <c r="E59" s="1"/>
      <c r="F59" s="1" t="s">
        <v>67</v>
      </c>
      <c r="G59" s="1" t="s">
        <v>28</v>
      </c>
      <c r="H59" s="1" t="s">
        <v>15</v>
      </c>
      <c r="I59" s="1">
        <v>1000</v>
      </c>
      <c r="J59" s="1">
        <v>850</v>
      </c>
      <c r="K59" s="1"/>
      <c r="L59" s="1">
        <v>2020</v>
      </c>
    </row>
    <row r="60" spans="1:12">
      <c r="A60" s="1">
        <f>LOOKUP(G60,{"Anhui","Beijing","Chongqing","Fujian","Gansu","Guangdong","Guangxi","Guizhou","Hainan","Hebei","Heilongjiang","Henan","Hubei","Hunan","Inner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15</v>
      </c>
      <c r="B60" s="1">
        <f>LOOKUP(H60,{"Anhui","Beijing","Chongqing","Fujian","Gansu","Guangdong","Guangxi","Guizhou","Hainan","Hebei","Heilongjiang","Henan","Hubei","Hunan","Inner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25</v>
      </c>
      <c r="C60" s="1">
        <v>3000</v>
      </c>
      <c r="D60" s="1"/>
      <c r="E60" s="1"/>
      <c r="F60" s="1" t="s">
        <v>67</v>
      </c>
      <c r="G60" s="1" t="s">
        <v>20</v>
      </c>
      <c r="H60" s="1" t="s">
        <v>30</v>
      </c>
      <c r="I60" s="1">
        <v>1000</v>
      </c>
      <c r="J60" s="1">
        <v>258</v>
      </c>
      <c r="K60" s="1"/>
      <c r="L60" s="1">
        <v>2020</v>
      </c>
    </row>
    <row r="61" spans="1:12">
      <c r="A61" s="1">
        <f>LOOKUP(G61,{"Anhui","Beijing","Chongqing","Fujian","Gansu","Guangdong","Guangxi","Guizhou","Hainan","Hebei","Heilongjiang","Henan","Hubei","Hunan","Inner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13</v>
      </c>
      <c r="B61" s="1">
        <f>LOOKUP(H61,{"Anhui","Beijing","Chongqing","Fujian","Gansu","Guangdong","Guangxi","Guizhou","Hainan","Hebei","Heilongjiang","Henan","Hubei","Hunan","Inner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17</v>
      </c>
      <c r="C61" s="1">
        <v>10000</v>
      </c>
      <c r="D61" s="1"/>
      <c r="E61" s="1"/>
      <c r="F61" s="1" t="s">
        <v>67</v>
      </c>
      <c r="G61" s="1" t="s">
        <v>18</v>
      </c>
      <c r="H61" s="1" t="s">
        <v>22</v>
      </c>
      <c r="I61" s="1">
        <v>1000</v>
      </c>
      <c r="J61" s="1">
        <v>451</v>
      </c>
      <c r="K61" s="1"/>
      <c r="L61" s="1">
        <v>2024</v>
      </c>
    </row>
    <row r="62" spans="1:12">
      <c r="A62" s="1">
        <f>LOOKUP(G62,{"Anhui","Beijing","Chongqing","Fujian","Gansu","Guangdong","Guangxi","Guizhou","Hainan","Hebei","Heilongjiang","Henan","Hubei","Hunan","Inner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26</v>
      </c>
      <c r="B62" s="1">
        <f>LOOKUP(H62,{"Anhui","Beijing","Chongqing","Fujian","Gansu","Guangdong","Guangxi","Guizhou","Hainan","Hebei","Heilongjiang","Henan","Hubei","Hunan","Inner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3</v>
      </c>
      <c r="C62" s="1">
        <v>10000</v>
      </c>
      <c r="D62" s="1"/>
      <c r="E62" s="1"/>
      <c r="F62" s="1" t="s">
        <v>67</v>
      </c>
      <c r="G62" s="1" t="s">
        <v>31</v>
      </c>
      <c r="H62" s="1" t="s">
        <v>8</v>
      </c>
      <c r="I62" s="1">
        <v>1000</v>
      </c>
      <c r="J62" s="1">
        <v>1316</v>
      </c>
      <c r="K62" s="1"/>
      <c r="L62" s="1">
        <v>2024</v>
      </c>
    </row>
    <row r="63" spans="1:12">
      <c r="A63" s="1">
        <f>LOOKUP(G63,{"Anhui","Beijing","Chongqing","Fujian","Gansu","Guangdong","Guangxi","Guizhou","Hainan","Hebei","Heilongjiang","Henan","Hubei","Hunan","Inner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17</v>
      </c>
      <c r="B63" s="1">
        <f>LOOKUP(H63,{"Anhui","Beijing","Chongqing","Fujian","Gansu","Guangdong","Guangxi","Guizhou","Hainan","Hebei","Heilongjiang","Henan","Hubei","Hunan","Inner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14</v>
      </c>
      <c r="C63" s="1">
        <v>4000</v>
      </c>
      <c r="D63" s="1"/>
      <c r="E63" s="1"/>
      <c r="F63" s="1" t="s">
        <v>67</v>
      </c>
      <c r="G63" s="1" t="s">
        <v>22</v>
      </c>
      <c r="H63" s="1" t="s">
        <v>19</v>
      </c>
      <c r="I63" s="1">
        <v>1000</v>
      </c>
      <c r="J63" s="1">
        <v>341</v>
      </c>
      <c r="K63" s="1"/>
      <c r="L63" s="1">
        <v>2021</v>
      </c>
    </row>
    <row r="64" spans="1:12">
      <c r="A64" s="1">
        <f>LOOKUP(G64,{"Anhui","Beijing","Chongqing","Fujian","Gansu","Guangdong","Guangxi","Guizhou","Hainan","Hebei","Heilongjiang","Henan","Hubei","Hunan","Inner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12</v>
      </c>
      <c r="B64" s="1">
        <f>LOOKUP(H64,{"Anhui","Beijing","Chongqing","Fujian","Gansu","Guangdong","Guangxi","Guizhou","Hainan","Hebei","Heilongjiang","Henan","Hubei","Hunan","Inner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13</v>
      </c>
      <c r="C64" s="1">
        <v>10000</v>
      </c>
      <c r="D64" s="1"/>
      <c r="E64" s="1"/>
      <c r="F64" s="1" t="s">
        <v>67</v>
      </c>
      <c r="G64" s="1" t="s">
        <v>17</v>
      </c>
      <c r="H64" s="1" t="s">
        <v>18</v>
      </c>
      <c r="I64" s="1">
        <v>1000</v>
      </c>
      <c r="J64" s="1">
        <v>250</v>
      </c>
      <c r="K64" s="1"/>
      <c r="L64" s="1">
        <v>2022</v>
      </c>
    </row>
    <row r="65" spans="1:12">
      <c r="A65" s="1">
        <f>LOOKUP(G65,{"Anhui","Beijing","Chongqing","Fujian","Gansu","Guangdong","Guangxi","Guizhou","Hainan","Hebei","Heilongjiang","Henan","Hubei","Hunan","Inner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13</v>
      </c>
      <c r="B65" s="1">
        <f>LOOKUP(H65,{"Anhui","Beijing","Chongqing","Fujian","Gansu","Guangdong","Guangxi","Guizhou","Hainan","Hebei","Heilongjiang","Henan","Hubei","Hunan","Inner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14</v>
      </c>
      <c r="C65" s="1">
        <v>10000</v>
      </c>
      <c r="D65" s="1"/>
      <c r="E65" s="1"/>
      <c r="F65" s="1" t="s">
        <v>67</v>
      </c>
      <c r="G65" s="1" t="s">
        <v>18</v>
      </c>
      <c r="H65" s="1" t="s">
        <v>19</v>
      </c>
      <c r="I65" s="1">
        <v>1000</v>
      </c>
      <c r="J65" s="1">
        <v>370</v>
      </c>
      <c r="K65" s="1"/>
      <c r="L65" s="1">
        <v>2022</v>
      </c>
    </row>
    <row r="66" spans="1:12">
      <c r="A66" s="1">
        <f>LOOKUP(G66,{"Anhui","Beijing","Chongqing","Fujian","Gansu","Guangdong","Guangxi","Guizhou","Hainan","Hebei","Heilongjiang","Henan","Hubei","Hunan","Inner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12</v>
      </c>
      <c r="B66" s="1">
        <f>LOOKUP(H66,{"Anhui","Beijing","Chongqing","Fujian","Gansu","Guangdong","Guangxi","Guizhou","Hainan","Hebei","Heilongjiang","Henan","Hubei","Hunan","Inner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13</v>
      </c>
      <c r="C66" s="1">
        <v>3100</v>
      </c>
      <c r="D66" s="1"/>
      <c r="E66" s="1"/>
      <c r="F66" s="1" t="s">
        <v>67</v>
      </c>
      <c r="G66" s="1" t="s">
        <v>17</v>
      </c>
      <c r="H66" s="1" t="s">
        <v>18</v>
      </c>
      <c r="I66" s="1">
        <v>1000</v>
      </c>
      <c r="J66" s="1">
        <v>281</v>
      </c>
      <c r="K66" s="1"/>
      <c r="L66" s="1">
        <v>2023</v>
      </c>
    </row>
    <row r="67" spans="1:12">
      <c r="A67" s="1">
        <f>LOOKUP(G67,{"Anhui","Beijing","Chongqing","Fujian","Gansu","Guangdong","Guangxi","Guizhou","Hainan","Hebei","Heilongjiang","Henan","Hubei","Hunan","Inner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10</v>
      </c>
      <c r="B67" s="1">
        <f>LOOKUP(H67,{"Anhui","Beijing","Chongqing","Fujian","Gansu","Guangdong","Guangxi","Guizhou","Hainan","Hebei","Heilongjiang","Henan","Hubei","Hunan","Inner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</v>
      </c>
      <c r="C67" s="1">
        <v>10000</v>
      </c>
      <c r="D67" s="1"/>
      <c r="E67" s="1"/>
      <c r="F67" s="1" t="s">
        <v>67</v>
      </c>
      <c r="G67" s="1" t="s">
        <v>15</v>
      </c>
      <c r="H67" s="1" t="s">
        <v>7</v>
      </c>
      <c r="I67" s="1">
        <v>1000</v>
      </c>
      <c r="J67" s="1">
        <v>102</v>
      </c>
      <c r="K67" s="1"/>
      <c r="L67" s="1">
        <v>2019</v>
      </c>
    </row>
    <row r="68" spans="1:12">
      <c r="A68" s="1">
        <f>LOOKUP(G68,{"Anhui","Beijing","Chongqing","Fujian","Gansu","Guangdong","Guangxi","Guizhou","Hainan","Hebei","Heilongjiang","Henan","Hubei","Hunan","Inner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8</v>
      </c>
      <c r="B68" s="1">
        <f>LOOKUP(H68,{"Anhui","Beijing","Chongqing","Fujian","Gansu","Guangdong","Guangxi","Guizhou","Hainan","Hebei","Heilongjiang","Henan","Hubei","Hunan","Inner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7</v>
      </c>
      <c r="C68" s="1">
        <v>3000</v>
      </c>
      <c r="D68" s="1"/>
      <c r="E68" s="1"/>
      <c r="F68" s="1" t="s">
        <v>67</v>
      </c>
      <c r="G68" s="1" t="s">
        <v>13</v>
      </c>
      <c r="H68" s="1" t="s">
        <v>12</v>
      </c>
      <c r="I68" s="1">
        <v>500</v>
      </c>
      <c r="J68" s="1">
        <v>222</v>
      </c>
      <c r="K68" s="1"/>
      <c r="L68" s="1">
        <v>2008</v>
      </c>
    </row>
    <row r="69" spans="1:12">
      <c r="A69" s="1">
        <f>LOOKUP(G69,{"Anhui","Beijing","Chongqing","Fujian","Gansu","Guangdong","Guangxi","Guizhou","Hainan","Hebei","Heilongjiang","Henan","Hubei","Hunan","Inner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7</v>
      </c>
      <c r="B69" s="1">
        <f>LOOKUP(H69,{"Anhui","Beijing","Chongqing","Fujian","Gansu","Guangdong","Guangxi","Guizhou","Hainan","Hebei","Heilongjiang","Henan","Hubei","Hunan","Inner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6</v>
      </c>
      <c r="C69" s="1">
        <v>3000</v>
      </c>
      <c r="D69" s="1"/>
      <c r="E69" s="1"/>
      <c r="F69" s="1" t="s">
        <v>67</v>
      </c>
      <c r="G69" s="1" t="s">
        <v>12</v>
      </c>
      <c r="H69" s="1" t="s">
        <v>11</v>
      </c>
      <c r="I69" s="1">
        <v>500</v>
      </c>
      <c r="J69" s="1">
        <v>400</v>
      </c>
      <c r="K69" s="1"/>
      <c r="L69" s="1">
        <v>2008</v>
      </c>
    </row>
    <row r="70" spans="1:12">
      <c r="A70" s="1">
        <f>LOOKUP(G70,{"Anhui","Beijing","Chongqing","Fujian","Gansu","Guangdong","Guangxi","Guizhou","Hainan","Hebei","Heilongjiang","Henan","Hubei","Hunan","Inner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8</v>
      </c>
      <c r="B70" s="1">
        <f>LOOKUP(H70,{"Anhui","Beijing","Chongqing","Fujian","Gansu","Guangdong","Guangxi","Guizhou","Hainan","Hebei","Heilongjiang","Henan","Hubei","Hunan","Inner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7</v>
      </c>
      <c r="C70" s="1">
        <v>3000</v>
      </c>
      <c r="D70" s="1"/>
      <c r="E70" s="1"/>
      <c r="F70" s="1" t="s">
        <v>67</v>
      </c>
      <c r="G70" s="1" t="s">
        <v>13</v>
      </c>
      <c r="H70" s="1" t="s">
        <v>12</v>
      </c>
      <c r="I70" s="1">
        <v>500</v>
      </c>
      <c r="J70" s="1">
        <v>304</v>
      </c>
      <c r="K70" s="1"/>
      <c r="L70" s="1">
        <v>2003</v>
      </c>
    </row>
    <row r="71" spans="1:12">
      <c r="A71" s="1">
        <f>LOOKUP(G71,{"Anhui","Beijing","Chongqing","Fujian","Gansu","Guangdong","Guangxi","Guizhou","Hainan","Hebei","Heilongjiang","Henan","Hubei","Hunan","Inner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7</v>
      </c>
      <c r="B71" s="1">
        <f>LOOKUP(H71,{"Anhui","Beijing","Chongqing","Fujian","Gansu","Guangdong","Guangxi","Guizhou","Hainan","Hebei","Heilongjiang","Henan","Hubei","Hunan","Inner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6</v>
      </c>
      <c r="C71" s="1">
        <v>3000</v>
      </c>
      <c r="D71" s="1"/>
      <c r="E71" s="1"/>
      <c r="F71" s="1" t="s">
        <v>67</v>
      </c>
      <c r="G71" s="1" t="s">
        <v>12</v>
      </c>
      <c r="H71" s="1" t="s">
        <v>11</v>
      </c>
      <c r="I71" s="1">
        <v>500</v>
      </c>
      <c r="J71" s="1">
        <v>400</v>
      </c>
      <c r="K71" s="1"/>
      <c r="L71" s="1">
        <v>2003</v>
      </c>
    </row>
    <row r="72" spans="1:12">
      <c r="A72" s="1">
        <f>LOOKUP(G72,{"Anhui","Beijing","Chongqing","Fujian","Gansu","Guangdong","Guangxi","Guizhou","Hainan","Hebei","Heilongjiang","Henan","Hubei","Hunan","Inner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8</v>
      </c>
      <c r="B72" s="1">
        <f>LOOKUP(H72,{"Anhui","Beijing","Chongqing","Fujian","Gansu","Guangdong","Guangxi","Guizhou","Hainan","Hebei","Heilongjiang","Henan","Hubei","Hunan","Inner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7</v>
      </c>
      <c r="C72" s="1">
        <v>800</v>
      </c>
      <c r="D72" s="1"/>
      <c r="E72" s="1"/>
      <c r="F72" s="1" t="s">
        <v>67</v>
      </c>
      <c r="G72" s="1" t="s">
        <v>13</v>
      </c>
      <c r="H72" s="1" t="s">
        <v>12</v>
      </c>
      <c r="I72" s="1">
        <v>500</v>
      </c>
      <c r="J72" s="1">
        <v>242</v>
      </c>
      <c r="K72" s="1"/>
      <c r="L72" s="1">
        <v>1993</v>
      </c>
    </row>
    <row r="73" spans="1:12">
      <c r="A73" s="1">
        <f>LOOKUP(G73,{"Anhui","Beijing","Chongqing","Fujian","Gansu","Guangdong","Guangxi","Guizhou","Hainan","Hebei","Heilongjiang","Henan","Hubei","Hunan","Inner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7</v>
      </c>
      <c r="B73" s="1">
        <f>LOOKUP(H73,{"Anhui","Beijing","Chongqing","Fujian","Gansu","Guangdong","Guangxi","Guizhou","Hainan","Hebei","Heilongjiang","Henan","Hubei","Hunan","Inner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6</v>
      </c>
      <c r="C73" s="1">
        <v>800</v>
      </c>
      <c r="D73" s="1"/>
      <c r="E73" s="1"/>
      <c r="F73" s="1" t="s">
        <v>67</v>
      </c>
      <c r="G73" s="1" t="s">
        <v>12</v>
      </c>
      <c r="H73" s="1" t="s">
        <v>11</v>
      </c>
      <c r="I73" s="1">
        <v>500</v>
      </c>
      <c r="J73" s="1">
        <v>487</v>
      </c>
      <c r="K73" s="1"/>
      <c r="L73" s="1">
        <v>1993</v>
      </c>
    </row>
    <row r="74" spans="1:12">
      <c r="A74" s="1">
        <f>LOOKUP(G74,{"Anhui","Beijing","Chongqing","Fujian","Gansu","Guangdong","Guangxi","Guizhou","Hainan","Hebei","Heilongjiang","Henan","Hubei","Hunan","Inner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8</v>
      </c>
      <c r="B74" s="1">
        <f>LOOKUP(H74,{"Anhui","Beijing","Chongqing","Fujian","Gansu","Guangdong","Guangxi","Guizhou","Hainan","Hebei","Heilongjiang","Henan","Hubei","Hunan","Inner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7</v>
      </c>
      <c r="C74" s="1">
        <v>800</v>
      </c>
      <c r="D74" s="1"/>
      <c r="E74" s="1"/>
      <c r="F74" s="1" t="s">
        <v>67</v>
      </c>
      <c r="G74" s="1" t="s">
        <v>13</v>
      </c>
      <c r="H74" s="1" t="s">
        <v>12</v>
      </c>
      <c r="I74" s="1">
        <v>500</v>
      </c>
      <c r="J74" s="1">
        <v>242</v>
      </c>
      <c r="K74" s="1"/>
      <c r="L74" s="1">
        <v>1998</v>
      </c>
    </row>
    <row r="75" spans="1:12">
      <c r="A75" s="1">
        <f>LOOKUP(G75,{"Anhui","Beijing","Chongqing","Fujian","Gansu","Guangdong","Guangxi","Guizhou","Hainan","Hebei","Heilongjiang","Henan","Hubei","Hunan","Inner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7</v>
      </c>
      <c r="B75" s="1">
        <f>LOOKUP(H75,{"Anhui","Beijing","Chongqing","Fujian","Gansu","Guangdong","Guangxi","Guizhou","Hainan","Hebei","Heilongjiang","Henan","Hubei","Hunan","Inner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6</v>
      </c>
      <c r="C75" s="1">
        <v>800</v>
      </c>
      <c r="D75" s="1"/>
      <c r="E75" s="1"/>
      <c r="F75" s="1" t="s">
        <v>67</v>
      </c>
      <c r="G75" s="1" t="s">
        <v>12</v>
      </c>
      <c r="H75" s="1" t="s">
        <v>11</v>
      </c>
      <c r="I75" s="1">
        <v>500</v>
      </c>
      <c r="J75" s="1">
        <v>487</v>
      </c>
      <c r="K75" s="1"/>
      <c r="L75" s="1">
        <v>1998</v>
      </c>
    </row>
    <row r="76" spans="1:12">
      <c r="A76" s="1">
        <f>LOOKUP(G76,{"Anhui","Beijing","Chongqing","Fujian","Gansu","Guangdong","Guangxi","Guizhou","Hainan","Hebei","Heilongjiang","Henan","Hubei","Hunan","Inner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8</v>
      </c>
      <c r="B76" s="1">
        <f>LOOKUP(H76,{"Anhui","Beijing","Chongqing","Fujian","Gansu","Guangdong","Guangxi","Guizhou","Hainan","Hebei","Heilongjiang","Henan","Hubei","Hunan","Inner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7</v>
      </c>
      <c r="C76" s="1">
        <v>800</v>
      </c>
      <c r="D76" s="1"/>
      <c r="E76" s="1"/>
      <c r="F76" s="1" t="s">
        <v>67</v>
      </c>
      <c r="G76" s="1" t="s">
        <v>13</v>
      </c>
      <c r="H76" s="1" t="s">
        <v>12</v>
      </c>
      <c r="I76" s="1">
        <v>500</v>
      </c>
      <c r="J76" s="1">
        <v>242</v>
      </c>
      <c r="K76" s="1"/>
      <c r="L76" s="1">
        <v>2002</v>
      </c>
    </row>
    <row r="77" spans="1:12">
      <c r="A77" s="1">
        <f>LOOKUP(G77,{"Anhui","Beijing","Chongqing","Fujian","Gansu","Guangdong","Guangxi","Guizhou","Hainan","Hebei","Heilongjiang","Henan","Hubei","Hunan","Inner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7</v>
      </c>
      <c r="B77" s="1">
        <f>LOOKUP(H77,{"Anhui","Beijing","Chongqing","Fujian","Gansu","Guangdong","Guangxi","Guizhou","Hainan","Hebei","Heilongjiang","Henan","Hubei","Hunan","Inner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6</v>
      </c>
      <c r="C77" s="1">
        <v>800</v>
      </c>
      <c r="D77" s="1"/>
      <c r="E77" s="1"/>
      <c r="F77" s="1" t="s">
        <v>67</v>
      </c>
      <c r="G77" s="1" t="s">
        <v>12</v>
      </c>
      <c r="H77" s="1" t="s">
        <v>11</v>
      </c>
      <c r="I77" s="1">
        <v>500</v>
      </c>
      <c r="J77" s="1">
        <v>487</v>
      </c>
      <c r="K77" s="1"/>
      <c r="L77" s="1">
        <v>2002</v>
      </c>
    </row>
    <row r="78" spans="1:12">
      <c r="A78" s="1">
        <f>LOOKUP(G78,{"Anhui","Beijing","Chongqing","Fujian","Gansu","Guangdong","Guangxi","Guizhou","Hainan","Hebei","Heilongjiang","Henan","Hubei","Hunan","Inner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8</v>
      </c>
      <c r="B78" s="1">
        <f>LOOKUP(H78,{"Anhui","Beijing","Chongqing","Fujian","Gansu","Guangdong","Guangxi","Guizhou","Hainan","Hebei","Heilongjiang","Henan","Hubei","Hunan","Inner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7</v>
      </c>
      <c r="C78" s="1">
        <v>1200</v>
      </c>
      <c r="D78" s="1"/>
      <c r="E78" s="1"/>
      <c r="F78" s="1" t="s">
        <v>67</v>
      </c>
      <c r="G78" s="1" t="s">
        <v>13</v>
      </c>
      <c r="H78" s="1" t="s">
        <v>12</v>
      </c>
      <c r="I78" s="1">
        <v>500</v>
      </c>
      <c r="J78" s="1">
        <v>242</v>
      </c>
      <c r="K78" s="1"/>
      <c r="L78" s="1">
        <v>2005</v>
      </c>
    </row>
    <row r="79" spans="1:12">
      <c r="A79" s="1">
        <f>LOOKUP(G79,{"Anhui","Beijing","Chongqing","Fujian","Gansu","Guangdong","Guangxi","Guizhou","Hainan","Hebei","Heilongjiang","Henan","Hubei","Hunan","Inner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7</v>
      </c>
      <c r="B79" s="1">
        <f>LOOKUP(H79,{"Anhui","Beijing","Chongqing","Fujian","Gansu","Guangdong","Guangxi","Guizhou","Hainan","Hebei","Heilongjiang","Henan","Hubei","Hunan","Inner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6</v>
      </c>
      <c r="C79" s="1">
        <v>1200</v>
      </c>
      <c r="D79" s="1"/>
      <c r="E79" s="1"/>
      <c r="F79" s="1" t="s">
        <v>67</v>
      </c>
      <c r="G79" s="1" t="s">
        <v>12</v>
      </c>
      <c r="H79" s="1" t="s">
        <v>11</v>
      </c>
      <c r="I79" s="1">
        <v>500</v>
      </c>
      <c r="J79" s="1">
        <v>487</v>
      </c>
      <c r="K79" s="1"/>
      <c r="L79" s="1">
        <v>2005</v>
      </c>
    </row>
    <row r="80" spans="1:12">
      <c r="A80" s="1">
        <f>LOOKUP(G80,{"Anhui","Beijing","Chongqing","Fujian","Gansu","Guangdong","Guangxi","Guizhou","Hainan","Hebei","Heilongjiang","Henan","Hubei","Hunan","Inner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6</v>
      </c>
      <c r="B80" s="1">
        <f>LOOKUP(H80,{"Anhui","Beijing","Chongqing","Fujian","Gansu","Guangdong","Guangxi","Guizhou","Hainan","Hebei","Heilongjiang","Henan","Hubei","Hunan","Inner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9</v>
      </c>
      <c r="C80" s="1">
        <v>1200</v>
      </c>
      <c r="D80" s="1"/>
      <c r="E80" s="1"/>
      <c r="F80" s="1" t="s">
        <v>67</v>
      </c>
      <c r="G80" s="1" t="s">
        <v>11</v>
      </c>
      <c r="H80" s="1" t="s">
        <v>14</v>
      </c>
      <c r="I80" s="1">
        <v>500</v>
      </c>
      <c r="J80" s="1">
        <v>176</v>
      </c>
      <c r="K80" s="1"/>
      <c r="L80" s="1">
        <v>2019</v>
      </c>
    </row>
    <row r="81" spans="1:12">
      <c r="A81" s="1">
        <f>LOOKUP(G81,{"Anhui","Beijing","Chongqing","Fujian","Gansu","Guangdong","Guangxi","Guizhou","Hainan","Hebei","Heilongjiang","Henan","Hubei","Hunan","Inner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15</v>
      </c>
      <c r="B81" s="1">
        <f>LOOKUP(H81,{"Anhui","Beijing","Chongqing","Fujian","Gansu","Guangdong","Guangxi","Guizhou","Hainan","Hebei","Heilongjiang","Henan","Hubei","Hunan","Inner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18</v>
      </c>
      <c r="C81" s="1">
        <v>2000</v>
      </c>
      <c r="D81" s="3"/>
      <c r="E81" s="3"/>
      <c r="F81" s="1" t="s">
        <v>67</v>
      </c>
      <c r="G81" s="4" t="s">
        <v>20</v>
      </c>
      <c r="H81" s="4" t="s">
        <v>23</v>
      </c>
      <c r="I81" s="1">
        <v>500</v>
      </c>
      <c r="J81" s="5" t="s">
        <v>68</v>
      </c>
      <c r="K81" s="3"/>
      <c r="L81" s="1">
        <v>2011</v>
      </c>
    </row>
    <row r="82" spans="1:12">
      <c r="A82" s="1">
        <f>LOOKUP(G82,{"Anhui","Beijing","Chongqing","Fujian","Gansu","Guangdong","Guangxi","Guizhou","Hainan","Hebei","Heilongjiang","Henan","Hubei","Hunan","Inner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15</v>
      </c>
      <c r="B82" s="1">
        <f>LOOKUP(H82,{"Anhui","Beijing","Chongqing","Fujian","Gansu","Guangdong","Guangxi","Guizhou","Hainan","Hebei","Heilongjiang","Henan","Hubei","Hunan","Inner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19</v>
      </c>
      <c r="C82" s="1">
        <v>2000</v>
      </c>
      <c r="D82" s="3"/>
      <c r="E82" s="3"/>
      <c r="F82" s="1" t="s">
        <v>67</v>
      </c>
      <c r="G82" s="4" t="s">
        <v>20</v>
      </c>
      <c r="H82" s="4" t="s">
        <v>24</v>
      </c>
      <c r="I82" s="1">
        <v>500</v>
      </c>
      <c r="J82" s="5" t="s">
        <v>68</v>
      </c>
      <c r="K82" s="3"/>
      <c r="L82" s="1">
        <v>2011</v>
      </c>
    </row>
    <row r="83" spans="1:12">
      <c r="A83" s="1">
        <f>LOOKUP(G83,{"Anhui","Beijing","Chongqing","Fujian","Gansu","Guangdong","Guangxi","Guizhou","Hainan","Hebei","Heilongjiang","Henan","Hubei","Hunan","Inner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11</v>
      </c>
      <c r="B83" s="1">
        <f>LOOKUP(H83,{"Anhui","Beijing","Chongqing","Fujian","Gansu","Guangdong","Guangxi","Guizhou","Hainan","Hebei","Heilongjiang","Henan","Hubei","Hunan","Inner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15</v>
      </c>
      <c r="C83" s="1">
        <v>2000</v>
      </c>
      <c r="D83" s="3"/>
      <c r="E83" s="3"/>
      <c r="F83" s="1" t="s">
        <v>67</v>
      </c>
      <c r="G83" s="4" t="s">
        <v>16</v>
      </c>
      <c r="H83" s="4" t="s">
        <v>20</v>
      </c>
      <c r="I83" s="1">
        <v>500</v>
      </c>
      <c r="J83" s="5" t="s">
        <v>68</v>
      </c>
      <c r="K83" s="3"/>
      <c r="L83" s="1">
        <v>2011</v>
      </c>
    </row>
    <row r="84" spans="1:12">
      <c r="A84" s="1">
        <f>LOOKUP(G84,{"Anhui","Beijing","Chongqing","Fujian","Gansu","Guangdong","Guangxi","Guizhou","Hainan","Hebei","Heilongjiang","Henan","Hubei","Hunan","Inner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11</v>
      </c>
      <c r="B84" s="1">
        <f>LOOKUP(H84,{"Anhui","Beijing","Chongqing","Fujian","Gansu","Guangdong","Guangxi","Guizhou","Hainan","Hebei","Heilongjiang","Henan","Hubei","Hunan","Inner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18</v>
      </c>
      <c r="C84" s="1">
        <v>2000</v>
      </c>
      <c r="D84" s="3"/>
      <c r="E84" s="3"/>
      <c r="F84" s="1" t="s">
        <v>67</v>
      </c>
      <c r="G84" s="4" t="s">
        <v>16</v>
      </c>
      <c r="H84" s="4" t="s">
        <v>23</v>
      </c>
      <c r="I84" s="1">
        <v>500</v>
      </c>
      <c r="J84" s="5" t="s">
        <v>68</v>
      </c>
      <c r="K84" s="3"/>
      <c r="L84" s="1">
        <v>2011</v>
      </c>
    </row>
    <row r="85" spans="1:12">
      <c r="A85" s="1">
        <f>LOOKUP(G85,{"Anhui","Beijing","Chongqing","Fujian","Gansu","Guangdong","Guangxi","Guizhou","Hainan","Hebei","Heilongjiang","Henan","Hubei","Hunan","Inner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18</v>
      </c>
      <c r="B85" s="1">
        <f>LOOKUP(H85,{"Anhui","Beijing","Chongqing","Fujian","Gansu","Guangdong","Guangxi","Guizhou","Hainan","Hebei","Heilongjiang","Henan","Hubei","Hunan","Inner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19</v>
      </c>
      <c r="C85" s="1">
        <v>2000</v>
      </c>
      <c r="D85" s="3"/>
      <c r="E85" s="3"/>
      <c r="F85" s="1" t="s">
        <v>67</v>
      </c>
      <c r="G85" s="4" t="s">
        <v>23</v>
      </c>
      <c r="H85" s="4" t="s">
        <v>24</v>
      </c>
      <c r="I85" s="1">
        <v>500</v>
      </c>
      <c r="J85" s="5" t="s">
        <v>68</v>
      </c>
      <c r="K85" s="3"/>
      <c r="L85" s="1">
        <v>2011</v>
      </c>
    </row>
    <row r="86" spans="1:12">
      <c r="A86" s="1">
        <f>LOOKUP(G86,{"Anhui","Beijing","Chongqing","Fujian","Gansu","Guangdong","Guangxi","Guizhou","Hainan","Hebei","Heilongjiang","Henan","Hubei","Hunan","Inner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19</v>
      </c>
      <c r="B86" s="1">
        <f>LOOKUP(H86,{"Anhui","Beijing","Chongqing","Fujian","Gansu","Guangdong","Guangxi","Guizhou","Hainan","Hebei","Heilongjiang","Henan","Hubei","Hunan","Inner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10</v>
      </c>
      <c r="C86" s="1">
        <v>2000</v>
      </c>
      <c r="D86" s="3"/>
      <c r="E86" s="3"/>
      <c r="F86" s="1" t="s">
        <v>67</v>
      </c>
      <c r="G86" s="4" t="s">
        <v>24</v>
      </c>
      <c r="H86" s="4" t="s">
        <v>15</v>
      </c>
      <c r="I86" s="1">
        <v>500</v>
      </c>
      <c r="J86" s="5" t="s">
        <v>68</v>
      </c>
      <c r="K86" s="3"/>
      <c r="L86" s="1">
        <v>2011</v>
      </c>
    </row>
    <row r="87" spans="1:12">
      <c r="A87" s="1">
        <f>LOOKUP(G87,{"Anhui","Beijing","Chongqing","Fujian","Gansu","Guangdong","Guangxi","Guizhou","Hainan","Hebei","Heilongjiang","Henan","Hubei","Hunan","Inner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10</v>
      </c>
      <c r="B87" s="1">
        <f>LOOKUP(H87,{"Anhui","Beijing","Chongqing","Fujian","Gansu","Guangdong","Guangxi","Guizhou","Hainan","Hebei","Heilongjiang","Henan","Hubei","Hunan","Inner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25</v>
      </c>
      <c r="C87" s="1">
        <v>2000</v>
      </c>
      <c r="D87" s="3"/>
      <c r="E87" s="3"/>
      <c r="F87" s="1" t="s">
        <v>67</v>
      </c>
      <c r="G87" s="4" t="s">
        <v>15</v>
      </c>
      <c r="H87" s="4" t="s">
        <v>30</v>
      </c>
      <c r="I87" s="1">
        <v>500</v>
      </c>
      <c r="J87" s="5" t="s">
        <v>68</v>
      </c>
      <c r="K87" s="3"/>
      <c r="L87" s="1">
        <v>2011</v>
      </c>
    </row>
    <row r="88" spans="1:12">
      <c r="A88" s="1">
        <f>LOOKUP(G88,{"Anhui","Beijing","Chongqing","Fujian","Gansu","Guangdong","Guangxi","Guizhou","Hainan","Hebei","Heilongjiang","Henan","Hubei","Hunan","Inner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5</v>
      </c>
      <c r="B88" s="1">
        <f>LOOKUP(H88,{"Anhui","Beijing","Chongqing","Fujian","Gansu","Guangdong","Guangxi","Guizhou","Hainan","Hebei","Heilongjiang","Henan","Hubei","Hunan","Inner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21</v>
      </c>
      <c r="C88" s="1">
        <v>2000</v>
      </c>
      <c r="D88" s="3"/>
      <c r="E88" s="3"/>
      <c r="F88" s="1" t="s">
        <v>67</v>
      </c>
      <c r="G88" s="4" t="s">
        <v>10</v>
      </c>
      <c r="H88" s="4" t="s">
        <v>26</v>
      </c>
      <c r="I88" s="1">
        <v>500</v>
      </c>
      <c r="J88" s="5" t="s">
        <v>68</v>
      </c>
      <c r="K88" s="3"/>
      <c r="L88" s="1">
        <v>2011</v>
      </c>
    </row>
    <row r="89" spans="1:12">
      <c r="A89" s="1">
        <f>LOOKUP(G89,{"Anhui","Beijing","Chongqing","Fujian","Gansu","Guangdong","Guangxi","Guizhou","Hainan","Hebei","Heilongjiang","Henan","Hubei","Hunan","Inner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5</v>
      </c>
      <c r="B89" s="1">
        <f>LOOKUP(H89,{"Anhui","Beijing","Chongqing","Fujian","Gansu","Guangdong","Guangxi","Guizhou","Hainan","Hebei","Heilongjiang","Henan","Hubei","Hunan","Inner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20</v>
      </c>
      <c r="C89" s="1">
        <v>2000</v>
      </c>
      <c r="D89" s="3"/>
      <c r="E89" s="3"/>
      <c r="F89" s="1" t="s">
        <v>67</v>
      </c>
      <c r="G89" s="4" t="s">
        <v>10</v>
      </c>
      <c r="H89" s="4" t="s">
        <v>25</v>
      </c>
      <c r="I89" s="1">
        <v>500</v>
      </c>
      <c r="J89" s="5" t="s">
        <v>68</v>
      </c>
      <c r="K89" s="3"/>
      <c r="L89" s="1">
        <v>2011</v>
      </c>
    </row>
    <row r="90" spans="1:12">
      <c r="A90" s="1">
        <f>LOOKUP(G90,{"Anhui","Beijing","Chongqing","Fujian","Gansu","Guangdong","Guangxi","Guizhou","Hainan","Hebei","Heilongjiang","Henan","Hubei","Hunan","Inner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5</v>
      </c>
      <c r="B90" s="1">
        <f>LOOKUP(H90,{"Anhui","Beijing","Chongqing","Fujian","Gansu","Guangdong","Guangxi","Guizhou","Hainan","Hebei","Heilongjiang","Henan","Hubei","Hunan","Inner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15</v>
      </c>
      <c r="C90" s="1">
        <v>2000</v>
      </c>
      <c r="D90" s="3"/>
      <c r="E90" s="3"/>
      <c r="F90" s="1" t="s">
        <v>67</v>
      </c>
      <c r="G90" s="4" t="s">
        <v>10</v>
      </c>
      <c r="H90" s="4" t="s">
        <v>20</v>
      </c>
      <c r="I90" s="1">
        <v>500</v>
      </c>
      <c r="J90" s="5" t="s">
        <v>68</v>
      </c>
      <c r="K90" s="3"/>
      <c r="L90" s="1">
        <v>2011</v>
      </c>
    </row>
    <row r="91" spans="1:12">
      <c r="A91" s="1">
        <f>LOOKUP(G91,{"Anhui","Beijing","Chongqing","Fujian","Gansu","Guangdong","Guangxi","Guizhou","Hainan","Hebei","Heilongjiang","Henan","Hubei","Hunan","Inner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15</v>
      </c>
      <c r="B91" s="1">
        <f>LOOKUP(H91,{"Anhui","Beijing","Chongqing","Fujian","Gansu","Guangdong","Guangxi","Guizhou","Hainan","Hebei","Heilongjiang","Henan","Hubei","Hunan","Inner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20</v>
      </c>
      <c r="C91" s="1">
        <v>2000</v>
      </c>
      <c r="D91" s="3"/>
      <c r="E91" s="3"/>
      <c r="F91" s="1" t="s">
        <v>67</v>
      </c>
      <c r="G91" s="4" t="s">
        <v>20</v>
      </c>
      <c r="H91" s="4" t="s">
        <v>25</v>
      </c>
      <c r="I91" s="1">
        <v>500</v>
      </c>
      <c r="J91" s="5" t="s">
        <v>68</v>
      </c>
      <c r="K91" s="3"/>
      <c r="L91" s="1">
        <v>2011</v>
      </c>
    </row>
    <row r="92" spans="1:12">
      <c r="A92" s="1">
        <f>LOOKUP(G92,{"Anhui","Beijing","Chongqing","Fujian","Gansu","Guangdong","Guangxi","Guizhou","Hainan","Hebei","Heilongjiang","Henan","Hubei","Hunan","Inner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5</v>
      </c>
      <c r="B92" s="1">
        <f>LOOKUP(H92,{"Anhui","Beijing","Chongqing","Fujian","Gansu","Guangdong","Guangxi","Guizhou","Hainan","Hebei","Heilongjiang","Henan","Hubei","Hunan","Inner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22</v>
      </c>
      <c r="C92" s="1">
        <v>2000</v>
      </c>
      <c r="D92" s="3"/>
      <c r="E92" s="3"/>
      <c r="F92" s="1" t="s">
        <v>67</v>
      </c>
      <c r="G92" s="4" t="s">
        <v>10</v>
      </c>
      <c r="H92" s="4" t="s">
        <v>27</v>
      </c>
      <c r="I92" s="1">
        <v>500</v>
      </c>
      <c r="J92" s="5" t="s">
        <v>68</v>
      </c>
      <c r="K92" s="3"/>
      <c r="L92" s="1">
        <v>2011</v>
      </c>
    </row>
    <row r="93" spans="1:12">
      <c r="A93" s="1">
        <f>LOOKUP(G93,{"Anhui","Beijing","Chongqing","Fujian","Gansu","Guangdong","Guangxi","Guizhou","Hainan","Hebei","Heilongjiang","Henan","Hubei","Hunan","Inner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15</v>
      </c>
      <c r="B93" s="1">
        <f>LOOKUP(H93,{"Anhui","Beijing","Chongqing","Fujian","Gansu","Guangdong","Guangxi","Guizhou","Hainan","Hebei","Heilongjiang","Henan","Hubei","Hunan","Inner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22</v>
      </c>
      <c r="C93" s="1">
        <v>2000</v>
      </c>
      <c r="D93" s="3"/>
      <c r="E93" s="3"/>
      <c r="F93" s="1" t="s">
        <v>67</v>
      </c>
      <c r="G93" s="4" t="s">
        <v>20</v>
      </c>
      <c r="H93" s="4" t="s">
        <v>27</v>
      </c>
      <c r="I93" s="1">
        <v>500</v>
      </c>
      <c r="J93" s="5" t="s">
        <v>68</v>
      </c>
      <c r="K93" s="3"/>
      <c r="L93" s="1">
        <v>2011</v>
      </c>
    </row>
    <row r="94" spans="1:12">
      <c r="A94" s="1">
        <f>LOOKUP(G94,{"Anhui","Beijing","Chongqing","Fujian","Gansu","Guangdong","Guangxi","Guizhou","Hainan","Hebei","Heilongjiang","Henan","Hubei","Hunan","Inner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20</v>
      </c>
      <c r="B94" s="1">
        <f>LOOKUP(H94,{"Anhui","Beijing","Chongqing","Fujian","Gansu","Guangdong","Guangxi","Guizhou","Hainan","Hebei","Heilongjiang","Henan","Hubei","Hunan","Inner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22</v>
      </c>
      <c r="C94" s="1">
        <v>2000</v>
      </c>
      <c r="D94" s="3"/>
      <c r="E94" s="3"/>
      <c r="F94" s="1" t="s">
        <v>67</v>
      </c>
      <c r="G94" s="4" t="s">
        <v>25</v>
      </c>
      <c r="H94" s="4" t="s">
        <v>27</v>
      </c>
      <c r="I94" s="1">
        <v>500</v>
      </c>
      <c r="J94" s="5" t="s">
        <v>68</v>
      </c>
      <c r="K94" s="3"/>
      <c r="L94" s="1">
        <v>2011</v>
      </c>
    </row>
    <row r="95" spans="1:12">
      <c r="A95" s="1">
        <f>LOOKUP(G95,{"Anhui","Beijing","Chongqing","Fujian","Gansu","Guangdong","Guangxi","Guizhou","Hainan","Hebei","Heilongjiang","Henan","Hubei","Hunan","Inner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25</v>
      </c>
      <c r="B95" s="1">
        <f>LOOKUP(H95,{"Anhui","Beijing","Chongqing","Fujian","Gansu","Guangdong","Guangxi","Guizhou","Hainan","Hebei","Heilongjiang","Henan","Hubei","Hunan","Inner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22</v>
      </c>
      <c r="C95" s="1">
        <v>2000</v>
      </c>
      <c r="D95" s="3"/>
      <c r="E95" s="3"/>
      <c r="F95" s="1" t="s">
        <v>67</v>
      </c>
      <c r="G95" s="4" t="s">
        <v>30</v>
      </c>
      <c r="H95" s="4" t="s">
        <v>27</v>
      </c>
      <c r="I95" s="1">
        <v>500</v>
      </c>
      <c r="J95" s="5" t="s">
        <v>68</v>
      </c>
      <c r="K95" s="3"/>
      <c r="L95" s="1">
        <v>2011</v>
      </c>
    </row>
    <row r="96" spans="1:12">
      <c r="A96" s="1">
        <f>LOOKUP(G96,{"Anhui","Beijing","Chongqing","Fujian","Gansu","Guangdong","Guangxi","Guizhou","Hainan","Hebei","Heilongjiang","Henan","Hubei","Hunan","Inner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25</v>
      </c>
      <c r="B96" s="1">
        <f>LOOKUP(H96,{"Anhui","Beijing","Chongqing","Fujian","Gansu","Guangdong","Guangxi","Guizhou","Hainan","Hebei","Heilongjiang","Henan","Hubei","Hunan","Inner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12</v>
      </c>
      <c r="C96" s="1">
        <v>2000</v>
      </c>
      <c r="D96" s="3"/>
      <c r="E96" s="3"/>
      <c r="F96" s="1" t="s">
        <v>67</v>
      </c>
      <c r="G96" s="4" t="s">
        <v>30</v>
      </c>
      <c r="H96" s="4" t="s">
        <v>17</v>
      </c>
      <c r="I96" s="1">
        <v>500</v>
      </c>
      <c r="J96" s="5" t="s">
        <v>68</v>
      </c>
      <c r="K96" s="3"/>
      <c r="L96" s="1">
        <v>2011</v>
      </c>
    </row>
    <row r="97" spans="1:12">
      <c r="A97" s="1">
        <f>LOOKUP(G97,{"Anhui","Beijing","Chongqing","Fujian","Gansu","Guangdong","Guangxi","Guizhou","Hainan","Hebei","Heilongjiang","Henan","Hubei","Hunan","Inner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15</v>
      </c>
      <c r="B97" s="1">
        <f>LOOKUP(H97,{"Anhui","Beijing","Chongqing","Fujian","Gansu","Guangdong","Guangxi","Guizhou","Hainan","Hebei","Heilongjiang","Henan","Hubei","Hunan","Inner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25</v>
      </c>
      <c r="C97" s="1">
        <v>2000</v>
      </c>
      <c r="D97" s="3"/>
      <c r="E97" s="3"/>
      <c r="F97" s="1" t="s">
        <v>67</v>
      </c>
      <c r="G97" s="4" t="s">
        <v>20</v>
      </c>
      <c r="H97" s="4" t="s">
        <v>30</v>
      </c>
      <c r="I97" s="1">
        <v>500</v>
      </c>
      <c r="J97" s="5" t="s">
        <v>68</v>
      </c>
      <c r="K97" s="3"/>
      <c r="L97" s="1">
        <v>2011</v>
      </c>
    </row>
    <row r="98" spans="1:12">
      <c r="A98" s="1">
        <f>LOOKUP(G98,{"Anhui","Beijing","Chongqing","Fujian","Gansu","Guangdong","Guangxi","Guizhou","Hainan","Hebei","Heilongjiang","Henan","Hubei","Hunan","Inner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22</v>
      </c>
      <c r="B98" s="1">
        <f>LOOKUP(H98,{"Anhui","Beijing","Chongqing","Fujian","Gansu","Guangdong","Guangxi","Guizhou","Hainan","Hebei","Heilongjiang","Henan","Hubei","Hunan","Inner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12</v>
      </c>
      <c r="C98" s="1">
        <v>2000</v>
      </c>
      <c r="D98" s="3"/>
      <c r="E98" s="3"/>
      <c r="F98" s="1" t="s">
        <v>67</v>
      </c>
      <c r="G98" s="4" t="s">
        <v>27</v>
      </c>
      <c r="H98" s="4" t="s">
        <v>17</v>
      </c>
      <c r="I98" s="1">
        <v>500</v>
      </c>
      <c r="J98" s="5" t="s">
        <v>68</v>
      </c>
      <c r="K98" s="3"/>
      <c r="L98" s="1">
        <v>2011</v>
      </c>
    </row>
    <row r="99" spans="1:12">
      <c r="A99" s="1">
        <f>LOOKUP(G99,{"Anhui","Beijing","Chongqing","Fujian","Gansu","Guangdong","Guangxi","Guizhou","Hainan","Hebei","Heilongjiang","Henan","Hubei","Hunan","Inner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10</v>
      </c>
      <c r="B99" s="1">
        <f>LOOKUP(H99,{"Anhui","Beijing","Chongqing","Fujian","Gansu","Guangdong","Guangxi","Guizhou","Hainan","Hebei","Heilongjiang","Henan","Hubei","Hunan","Inner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12</v>
      </c>
      <c r="C99" s="1">
        <v>2000</v>
      </c>
      <c r="D99" s="3"/>
      <c r="E99" s="3"/>
      <c r="F99" s="1" t="s">
        <v>67</v>
      </c>
      <c r="G99" s="4" t="s">
        <v>15</v>
      </c>
      <c r="H99" s="4" t="s">
        <v>17</v>
      </c>
      <c r="I99" s="1">
        <v>500</v>
      </c>
      <c r="J99" s="5" t="s">
        <v>68</v>
      </c>
      <c r="K99" s="3"/>
      <c r="L99" s="1">
        <v>2011</v>
      </c>
    </row>
    <row r="100" spans="1:12">
      <c r="A100" s="1">
        <f>LOOKUP(G100,{"Anhui","Beijing","Chongqing","Fujian","Gansu","Guangdong","Guangxi","Guizhou","Hainan","Hebei","Heilongjiang","Henan","Hubei","Hunan","Inner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10</v>
      </c>
      <c r="B100" s="1">
        <f>LOOKUP(H100,{"Anhui","Beijing","Chongqing","Fujian","Gansu","Guangdong","Guangxi","Guizhou","Hainan","Hebei","Heilongjiang","Henan","Hubei","Hunan","Inner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</v>
      </c>
      <c r="C100" s="1">
        <v>2000</v>
      </c>
      <c r="D100" s="3"/>
      <c r="E100" s="3"/>
      <c r="F100" s="1" t="s">
        <v>67</v>
      </c>
      <c r="G100" s="4" t="s">
        <v>15</v>
      </c>
      <c r="H100" s="4" t="s">
        <v>7</v>
      </c>
      <c r="I100" s="1">
        <v>500</v>
      </c>
      <c r="J100" s="5" t="s">
        <v>68</v>
      </c>
      <c r="K100" s="3"/>
      <c r="L100" s="1">
        <v>2011</v>
      </c>
    </row>
    <row r="101" spans="1:12">
      <c r="A101" s="1">
        <f>LOOKUP(G101,{"Anhui","Beijing","Chongqing","Fujian","Gansu","Guangdong","Guangxi","Guizhou","Hainan","Hebei","Heilongjiang","Henan","Hubei","Hunan","Inner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10</v>
      </c>
      <c r="B101" s="1">
        <f>LOOKUP(H101,{"Anhui","Beijing","Chongqing","Fujian","Gansu","Guangdong","Guangxi","Guizhou","Hainan","Hebei","Heilongjiang","Henan","Hubei","Hunan","Inner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27</v>
      </c>
      <c r="C101" s="1">
        <v>2000</v>
      </c>
      <c r="D101" s="3"/>
      <c r="E101" s="3"/>
      <c r="F101" s="1" t="s">
        <v>67</v>
      </c>
      <c r="G101" s="4" t="s">
        <v>15</v>
      </c>
      <c r="H101" s="4" t="s">
        <v>32</v>
      </c>
      <c r="I101" s="1">
        <v>500</v>
      </c>
      <c r="J101" s="5" t="s">
        <v>68</v>
      </c>
      <c r="K101" s="3"/>
      <c r="L101" s="1">
        <v>2011</v>
      </c>
    </row>
    <row r="102" spans="1:12">
      <c r="A102" s="1">
        <f>LOOKUP(G102,{"Anhui","Beijing","Chongqing","Fujian","Gansu","Guangdong","Guangxi","Guizhou","Hainan","Hebei","Heilongjiang","Henan","Hubei","Hunan","Inner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</v>
      </c>
      <c r="B102" s="1">
        <f>LOOKUP(H102,{"Anhui","Beijing","Chongqing","Fujian","Gansu","Guangdong","Guangxi","Guizhou","Hainan","Hebei","Heilongjiang","Henan","Hubei","Hunan","Inner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27</v>
      </c>
      <c r="C102" s="1">
        <v>2000</v>
      </c>
      <c r="D102" s="3"/>
      <c r="E102" s="3"/>
      <c r="F102" s="1" t="s">
        <v>67</v>
      </c>
      <c r="G102" s="4" t="s">
        <v>7</v>
      </c>
      <c r="H102" s="4" t="s">
        <v>32</v>
      </c>
      <c r="I102" s="1">
        <v>500</v>
      </c>
      <c r="J102" s="5" t="s">
        <v>68</v>
      </c>
      <c r="K102" s="3"/>
      <c r="L102" s="1">
        <v>2011</v>
      </c>
    </row>
    <row r="103" spans="1:12">
      <c r="A103" s="1">
        <f>LOOKUP(G103,{"Anhui","Beijing","Chongqing","Fujian","Gansu","Guangdong","Guangxi","Guizhou","Hainan","Hebei","Heilongjiang","Henan","Hubei","Hunan","Inner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10</v>
      </c>
      <c r="B103" s="1">
        <f>LOOKUP(H103,{"Anhui","Beijing","Chongqing","Fujian","Gansu","Guangdong","Guangxi","Guizhou","Hainan","Hebei","Heilongjiang","Henan","Hubei","Hunan","Inner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23</v>
      </c>
      <c r="C103" s="1">
        <v>2000</v>
      </c>
      <c r="D103" s="3"/>
      <c r="E103" s="3"/>
      <c r="F103" s="1" t="s">
        <v>67</v>
      </c>
      <c r="G103" s="4" t="s">
        <v>15</v>
      </c>
      <c r="H103" s="4" t="s">
        <v>28</v>
      </c>
      <c r="I103" s="1">
        <v>500</v>
      </c>
      <c r="J103" s="5" t="s">
        <v>68</v>
      </c>
      <c r="K103" s="3"/>
      <c r="L103" s="1">
        <v>2011</v>
      </c>
    </row>
    <row r="104" spans="1:12">
      <c r="A104" s="1">
        <f>LOOKUP(G104,{"Anhui","Beijing","Chongqing","Fujian","Gansu","Guangdong","Guangxi","Guizhou","Hainan","Hebei","Heilongjiang","Henan","Hubei","Hunan","Inner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12</v>
      </c>
      <c r="B104" s="1">
        <f>LOOKUP(H104,{"Anhui","Beijing","Chongqing","Fujian","Gansu","Guangdong","Guangxi","Guizhou","Hainan","Hebei","Heilongjiang","Henan","Hubei","Hunan","Inner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23</v>
      </c>
      <c r="C104" s="1">
        <v>2000</v>
      </c>
      <c r="D104" s="3"/>
      <c r="E104" s="3"/>
      <c r="F104" s="1" t="s">
        <v>67</v>
      </c>
      <c r="G104" s="4" t="s">
        <v>17</v>
      </c>
      <c r="H104" s="4" t="s">
        <v>28</v>
      </c>
      <c r="I104" s="1">
        <v>500</v>
      </c>
      <c r="J104" s="5" t="s">
        <v>68</v>
      </c>
      <c r="K104" s="3"/>
      <c r="L104" s="1">
        <v>2011</v>
      </c>
    </row>
    <row r="105" spans="1:12">
      <c r="A105" s="1">
        <f>LOOKUP(G105,{"Anhui","Beijing","Chongqing","Fujian","Gansu","Guangdong","Guangxi","Guizhou","Hainan","Hebei","Heilongjiang","Henan","Hubei","Hunan","Inner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12</v>
      </c>
      <c r="B105" s="1">
        <f>LOOKUP(H105,{"Anhui","Beijing","Chongqing","Fujian","Gansu","Guangdong","Guangxi","Guizhou","Hainan","Hebei","Heilongjiang","Henan","Hubei","Hunan","Inner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</v>
      </c>
      <c r="C105" s="1">
        <v>2000</v>
      </c>
      <c r="D105" s="3"/>
      <c r="E105" s="3"/>
      <c r="F105" s="1" t="s">
        <v>67</v>
      </c>
      <c r="G105" s="4" t="s">
        <v>17</v>
      </c>
      <c r="H105" s="4" t="s">
        <v>6</v>
      </c>
      <c r="I105" s="1">
        <v>500</v>
      </c>
      <c r="J105" s="5" t="s">
        <v>68</v>
      </c>
      <c r="K105" s="3"/>
      <c r="L105" s="1">
        <v>2011</v>
      </c>
    </row>
    <row r="106" spans="1:12">
      <c r="A106" s="1">
        <f>LOOKUP(G106,{"Anhui","Beijing","Chongqing","Fujian","Gansu","Guangdong","Guangxi","Guizhou","Hainan","Hebei","Heilongjiang","Henan","Hubei","Hunan","Inner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23</v>
      </c>
      <c r="B106" s="1">
        <f>LOOKUP(H106,{"Anhui","Beijing","Chongqing","Fujian","Gansu","Guangdong","Guangxi","Guizhou","Hainan","Hebei","Heilongjiang","Henan","Hubei","Hunan","Inner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16</v>
      </c>
      <c r="C106" s="1">
        <v>2000</v>
      </c>
      <c r="D106" s="3"/>
      <c r="E106" s="3"/>
      <c r="F106" s="1" t="s">
        <v>67</v>
      </c>
      <c r="G106" s="4" t="s">
        <v>28</v>
      </c>
      <c r="H106" s="4" t="s">
        <v>21</v>
      </c>
      <c r="I106" s="1">
        <v>500</v>
      </c>
      <c r="J106" s="5" t="s">
        <v>68</v>
      </c>
      <c r="K106" s="3"/>
      <c r="L106" s="1">
        <v>2011</v>
      </c>
    </row>
    <row r="107" spans="1:12">
      <c r="A107" s="1">
        <f>LOOKUP(G107,{"Anhui","Beijing","Chongqing","Fujian","Gansu","Guangdong","Guangxi","Guizhou","Hainan","Hebei","Heilongjiang","Henan","Hubei","Hunan","Inner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</v>
      </c>
      <c r="B107" s="1">
        <f>LOOKUP(H107,{"Anhui","Beijing","Chongqing","Fujian","Gansu","Guangdong","Guangxi","Guizhou","Hainan","Hebei","Heilongjiang","Henan","Hubei","Hunan","Inner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23</v>
      </c>
      <c r="C107" s="1">
        <v>2000</v>
      </c>
      <c r="D107" s="3"/>
      <c r="E107" s="3"/>
      <c r="F107" s="1" t="s">
        <v>67</v>
      </c>
      <c r="G107" s="4" t="s">
        <v>6</v>
      </c>
      <c r="H107" s="4" t="s">
        <v>28</v>
      </c>
      <c r="I107" s="1">
        <v>500</v>
      </c>
      <c r="J107" s="5" t="s">
        <v>68</v>
      </c>
      <c r="K107" s="3"/>
      <c r="L107" s="1">
        <v>2011</v>
      </c>
    </row>
    <row r="108" spans="1:12">
      <c r="A108" s="1">
        <f>LOOKUP(G108,{"Anhui","Beijing","Chongqing","Fujian","Gansu","Guangdong","Guangxi","Guizhou","Hainan","Hebei","Heilongjiang","Henan","Hubei","Hunan","Inner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12</v>
      </c>
      <c r="B108" s="1">
        <f>LOOKUP(H108,{"Anhui","Beijing","Chongqing","Fujian","Gansu","Guangdong","Guangxi","Guizhou","Hainan","Hebei","Heilongjiang","Henan","Hubei","Hunan","Inner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13</v>
      </c>
      <c r="C108" s="1">
        <v>2000</v>
      </c>
      <c r="D108" s="3"/>
      <c r="E108" s="3"/>
      <c r="F108" s="1" t="s">
        <v>67</v>
      </c>
      <c r="G108" s="4" t="s">
        <v>17</v>
      </c>
      <c r="H108" s="4" t="s">
        <v>18</v>
      </c>
      <c r="I108" s="1">
        <v>500</v>
      </c>
      <c r="J108" s="5" t="s">
        <v>68</v>
      </c>
      <c r="K108" s="3"/>
      <c r="L108" s="1">
        <v>2011</v>
      </c>
    </row>
    <row r="109" spans="1:12">
      <c r="A109" s="1">
        <f>LOOKUP(G109,{"Anhui","Beijing","Chongqing","Fujian","Gansu","Guangdong","Guangxi","Guizhou","Hainan","Hebei","Heilongjiang","Henan","Hubei","Hunan","Inner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22</v>
      </c>
      <c r="B109" s="1">
        <f>LOOKUP(H109,{"Anhui","Beijing","Chongqing","Fujian","Gansu","Guangdong","Guangxi","Guizhou","Hainan","Hebei","Heilongjiang","Henan","Hubei","Hunan","Inner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13</v>
      </c>
      <c r="C109" s="1">
        <v>2000</v>
      </c>
      <c r="D109" s="3"/>
      <c r="E109" s="3"/>
      <c r="F109" s="1" t="s">
        <v>67</v>
      </c>
      <c r="G109" s="4" t="s">
        <v>27</v>
      </c>
      <c r="H109" s="4" t="s">
        <v>18</v>
      </c>
      <c r="I109" s="1">
        <v>500</v>
      </c>
      <c r="J109" s="5" t="s">
        <v>68</v>
      </c>
      <c r="K109" s="3"/>
      <c r="L109" s="1">
        <v>2011</v>
      </c>
    </row>
    <row r="110" spans="1:12">
      <c r="A110" s="1">
        <f>LOOKUP(G110,{"Anhui","Beijing","Chongqing","Fujian","Gansu","Guangdong","Guangxi","Guizhou","Hainan","Hebei","Heilongjiang","Henan","Hubei","Hunan","Inner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13</v>
      </c>
      <c r="B110" s="1">
        <f>LOOKUP(H110,{"Anhui","Beijing","Chongqing","Fujian","Gansu","Guangdong","Guangxi","Guizhou","Hainan","Hebei","Heilongjiang","Henan","Hubei","Hunan","Inner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</v>
      </c>
      <c r="C110" s="1">
        <v>2000</v>
      </c>
      <c r="D110" s="3"/>
      <c r="E110" s="3"/>
      <c r="F110" s="1" t="s">
        <v>67</v>
      </c>
      <c r="G110" s="4" t="s">
        <v>18</v>
      </c>
      <c r="H110" s="4" t="s">
        <v>6</v>
      </c>
      <c r="I110" s="1">
        <v>500</v>
      </c>
      <c r="J110" s="5" t="s">
        <v>68</v>
      </c>
      <c r="K110" s="3"/>
      <c r="L110" s="1">
        <v>2011</v>
      </c>
    </row>
    <row r="111" spans="1:12">
      <c r="A111" s="1">
        <f>LOOKUP(G111,{"Anhui","Beijing","Chongqing","Fujian","Gansu","Guangdong","Guangxi","Guizhou","Hainan","Hebei","Heilongjiang","Henan","Hubei","Hunan","Inner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</v>
      </c>
      <c r="B111" s="1">
        <f>LOOKUP(H111,{"Anhui","Beijing","Chongqing","Fujian","Gansu","Guangdong","Guangxi","Guizhou","Hainan","Hebei","Heilongjiang","Henan","Hubei","Hunan","Inner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16</v>
      </c>
      <c r="C111" s="1">
        <v>2000</v>
      </c>
      <c r="D111" s="3"/>
      <c r="E111" s="3"/>
      <c r="F111" s="1" t="s">
        <v>67</v>
      </c>
      <c r="G111" s="4" t="s">
        <v>6</v>
      </c>
      <c r="H111" s="4" t="s">
        <v>21</v>
      </c>
      <c r="I111" s="1">
        <v>500</v>
      </c>
      <c r="J111" s="5" t="s">
        <v>68</v>
      </c>
      <c r="K111" s="3"/>
      <c r="L111" s="1">
        <v>2011</v>
      </c>
    </row>
    <row r="112" spans="1:12">
      <c r="A112" s="1">
        <f>LOOKUP(G112,{"Anhui","Beijing","Chongqing","Fujian","Gansu","Guangdong","Guangxi","Guizhou","Hainan","Hebei","Heilongjiang","Henan","Hubei","Hunan","Inner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26</v>
      </c>
      <c r="B112" s="1">
        <f>LOOKUP(H112,{"Anhui","Beijing","Chongqing","Fujian","Gansu","Guangdong","Guangxi","Guizhou","Hainan","Hebei","Heilongjiang","Henan","Hubei","Hunan","Inner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22</v>
      </c>
      <c r="C112" s="1">
        <v>2000</v>
      </c>
      <c r="D112" s="3"/>
      <c r="E112" s="3"/>
      <c r="F112" s="1" t="s">
        <v>67</v>
      </c>
      <c r="G112" s="4" t="s">
        <v>31</v>
      </c>
      <c r="H112" s="4" t="s">
        <v>27</v>
      </c>
      <c r="I112" s="1">
        <v>500</v>
      </c>
      <c r="J112" s="5" t="s">
        <v>68</v>
      </c>
      <c r="K112" s="3"/>
      <c r="L112" s="1">
        <v>2011</v>
      </c>
    </row>
    <row r="113" spans="1:12">
      <c r="A113" s="1">
        <f>LOOKUP(G113,{"Anhui","Beijing","Chongqing","Fujian","Gansu","Guangdong","Guangxi","Guizhou","Hainan","Hebei","Heilongjiang","Henan","Hubei","Hunan","Inner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26</v>
      </c>
      <c r="B113" s="1">
        <f>LOOKUP(H113,{"Anhui","Beijing","Chongqing","Fujian","Gansu","Guangdong","Guangxi","Guizhou","Hainan","Hebei","Heilongjiang","Henan","Hubei","Hunan","Inner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3</v>
      </c>
      <c r="C113" s="1">
        <v>2000</v>
      </c>
      <c r="D113" s="3"/>
      <c r="E113" s="3"/>
      <c r="F113" s="1" t="s">
        <v>67</v>
      </c>
      <c r="G113" s="4" t="s">
        <v>31</v>
      </c>
      <c r="H113" s="4" t="s">
        <v>8</v>
      </c>
      <c r="I113" s="1">
        <v>500</v>
      </c>
      <c r="J113" s="5" t="s">
        <v>68</v>
      </c>
      <c r="K113" s="3"/>
      <c r="L113" s="1">
        <v>2011</v>
      </c>
    </row>
    <row r="114" spans="1:12">
      <c r="A114" s="1">
        <f>LOOKUP(G114,{"Anhui","Beijing","Chongqing","Fujian","Gansu","Guangdong","Guangxi","Guizhou","Hainan","Hebei","Heilongjiang","Henan","Hubei","Hunan","Inner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3</v>
      </c>
      <c r="B114" s="1">
        <f>LOOKUP(H114,{"Anhui","Beijing","Chongqing","Fujian","Gansu","Guangdong","Guangxi","Guizhou","Hainan","Hebei","Heilongjiang","Henan","Hubei","Hunan","Inner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13</v>
      </c>
      <c r="C114" s="1">
        <v>2000</v>
      </c>
      <c r="D114" s="3"/>
      <c r="E114" s="3"/>
      <c r="F114" s="1" t="s">
        <v>67</v>
      </c>
      <c r="G114" s="4" t="s">
        <v>8</v>
      </c>
      <c r="H114" s="4" t="s">
        <v>18</v>
      </c>
      <c r="I114" s="1">
        <v>500</v>
      </c>
      <c r="J114" s="5" t="s">
        <v>68</v>
      </c>
      <c r="K114" s="3"/>
      <c r="L114" s="1">
        <v>2011</v>
      </c>
    </row>
    <row r="115" spans="1:12">
      <c r="A115" s="1">
        <f>LOOKUP(G115,{"Anhui","Beijing","Chongqing","Fujian","Gansu","Guangdong","Guangxi","Guizhou","Hainan","Hebei","Heilongjiang","Henan","Hubei","Hunan","Inner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26</v>
      </c>
      <c r="B115" s="1">
        <f>LOOKUP(H115,{"Anhui","Beijing","Chongqing","Fujian","Gansu","Guangdong","Guangxi","Guizhou","Hainan","Hebei","Heilongjiang","Henan","Hubei","Hunan","Inner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30</v>
      </c>
      <c r="C115" s="1">
        <v>2000</v>
      </c>
      <c r="D115" s="3"/>
      <c r="E115" s="3"/>
      <c r="F115" s="1" t="s">
        <v>67</v>
      </c>
      <c r="G115" s="4" t="s">
        <v>31</v>
      </c>
      <c r="H115" s="4" t="s">
        <v>35</v>
      </c>
      <c r="I115" s="1">
        <v>500</v>
      </c>
      <c r="J115" s="5" t="s">
        <v>68</v>
      </c>
      <c r="K115" s="3"/>
      <c r="L115" s="1">
        <v>2011</v>
      </c>
    </row>
    <row r="116" spans="1:12">
      <c r="A116" s="1">
        <f>LOOKUP(G116,{"Anhui","Beijing","Chongqing","Fujian","Gansu","Guangdong","Guangxi","Guizhou","Hainan","Hebei","Heilongjiang","Henan","Hubei","Hunan","Inner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8</v>
      </c>
      <c r="B116" s="1">
        <f>LOOKUP(H116,{"Anhui","Beijing","Chongqing","Fujian","Gansu","Guangdong","Guangxi","Guizhou","Hainan","Hebei","Heilongjiang","Henan","Hubei","Hunan","Inner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3</v>
      </c>
      <c r="C116" s="1">
        <v>2000</v>
      </c>
      <c r="D116" s="3"/>
      <c r="E116" s="3"/>
      <c r="F116" s="1" t="s">
        <v>67</v>
      </c>
      <c r="G116" s="4" t="s">
        <v>13</v>
      </c>
      <c r="H116" s="4" t="s">
        <v>8</v>
      </c>
      <c r="I116" s="1">
        <v>500</v>
      </c>
      <c r="J116" s="5" t="s">
        <v>68</v>
      </c>
      <c r="K116" s="3"/>
      <c r="L116" s="1">
        <v>2011</v>
      </c>
    </row>
    <row r="117" spans="1:12">
      <c r="A117" s="1">
        <f>LOOKUP(G117,{"Anhui","Beijing","Chongqing","Fujian","Gansu","Guangdong","Guangxi","Guizhou","Hainan","Hebei","Heilongjiang","Henan","Hubei","Hunan","Inner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8</v>
      </c>
      <c r="B117" s="1">
        <f>LOOKUP(H117,{"Anhui","Beijing","Chongqing","Fujian","Gansu","Guangdong","Guangxi","Guizhou","Hainan","Hebei","Heilongjiang","Henan","Hubei","Hunan","Inner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14</v>
      </c>
      <c r="C117" s="1">
        <v>2000</v>
      </c>
      <c r="D117" s="3"/>
      <c r="E117" s="3"/>
      <c r="F117" s="1" t="s">
        <v>67</v>
      </c>
      <c r="G117" s="4" t="s">
        <v>13</v>
      </c>
      <c r="H117" s="4" t="s">
        <v>19</v>
      </c>
      <c r="I117" s="1">
        <v>500</v>
      </c>
      <c r="J117" s="5" t="s">
        <v>68</v>
      </c>
      <c r="K117" s="3"/>
      <c r="L117" s="1">
        <v>2011</v>
      </c>
    </row>
    <row r="118" spans="1:12">
      <c r="A118" s="1">
        <f>LOOKUP(G118,{"Anhui","Beijing","Chongqing","Fujian","Gansu","Guangdong","Guangxi","Guizhou","Hainan","Hebei","Heilongjiang","Henan","Hubei","Hunan","Inner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13</v>
      </c>
      <c r="B118" s="1">
        <f>LOOKUP(H118,{"Anhui","Beijing","Chongqing","Fujian","Gansu","Guangdong","Guangxi","Guizhou","Hainan","Hebei","Heilongjiang","Henan","Hubei","Hunan","Inner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14</v>
      </c>
      <c r="C118" s="1">
        <v>2000</v>
      </c>
      <c r="D118" s="3"/>
      <c r="E118" s="3"/>
      <c r="F118" s="1" t="s">
        <v>67</v>
      </c>
      <c r="G118" s="4" t="s">
        <v>18</v>
      </c>
      <c r="H118" s="4" t="s">
        <v>19</v>
      </c>
      <c r="I118" s="1">
        <v>500</v>
      </c>
      <c r="J118" s="5" t="s">
        <v>68</v>
      </c>
      <c r="K118" s="3"/>
      <c r="L118" s="1">
        <v>2011</v>
      </c>
    </row>
    <row r="119" spans="1:12">
      <c r="A119" s="1">
        <f>LOOKUP(G119,{"Anhui","Beijing","Chongqing","Fujian","Gansu","Guangdong","Guangxi","Guizhou","Hainan","Hebei","Heilongjiang","Henan","Hubei","Hunan","Inner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13</v>
      </c>
      <c r="B119" s="1">
        <f>LOOKUP(H119,{"Anhui","Beijing","Chongqing","Fujian","Gansu","Guangdong","Guangxi","Guizhou","Hainan","Hebei","Heilongjiang","Henan","Hubei","Hunan","Inner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17</v>
      </c>
      <c r="C119" s="1">
        <v>2000</v>
      </c>
      <c r="D119" s="3"/>
      <c r="E119" s="3"/>
      <c r="F119" s="1" t="s">
        <v>67</v>
      </c>
      <c r="G119" s="4" t="s">
        <v>18</v>
      </c>
      <c r="H119" s="4" t="s">
        <v>22</v>
      </c>
      <c r="I119" s="1">
        <v>500</v>
      </c>
      <c r="J119" s="5" t="s">
        <v>68</v>
      </c>
      <c r="K119" s="3"/>
      <c r="L119" s="1">
        <v>2011</v>
      </c>
    </row>
    <row r="120" spans="1:12">
      <c r="A120" s="1">
        <f>LOOKUP(G120,{"Anhui","Beijing","Chongqing","Fujian","Gansu","Guangdong","Guangxi","Guizhou","Hainan","Hebei","Heilongjiang","Henan","Hubei","Hunan","Inner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14</v>
      </c>
      <c r="B120" s="1">
        <f>LOOKUP(H120,{"Anhui","Beijing","Chongqing","Fujian","Gansu","Guangdong","Guangxi","Guizhou","Hainan","Hebei","Heilongjiang","Henan","Hubei","Hunan","Inner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17</v>
      </c>
      <c r="C120" s="1">
        <v>2000</v>
      </c>
      <c r="D120" s="3"/>
      <c r="E120" s="3"/>
      <c r="F120" s="1" t="s">
        <v>67</v>
      </c>
      <c r="G120" s="4" t="s">
        <v>19</v>
      </c>
      <c r="H120" s="4" t="s">
        <v>22</v>
      </c>
      <c r="I120" s="1">
        <v>500</v>
      </c>
      <c r="J120" s="5" t="s">
        <v>68</v>
      </c>
      <c r="K120" s="3"/>
      <c r="L120" s="1">
        <v>2011</v>
      </c>
    </row>
    <row r="121" spans="1:12">
      <c r="A121" s="1">
        <f>LOOKUP(G121,{"Anhui","Beijing","Chongqing","Fujian","Gansu","Guangdong","Guangxi","Guizhou","Hainan","Hebei","Heilongjiang","Henan","Hubei","Hunan","Inner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</v>
      </c>
      <c r="B121" s="1">
        <f>LOOKUP(H121,{"Anhui","Beijing","Chongqing","Fujian","Gansu","Guangdong","Guangxi","Guizhou","Hainan","Hebei","Heilongjiang","Henan","Hubei","Hunan","Inner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17</v>
      </c>
      <c r="C121" s="1">
        <v>2000</v>
      </c>
      <c r="D121" s="3"/>
      <c r="E121" s="3"/>
      <c r="F121" s="1" t="s">
        <v>67</v>
      </c>
      <c r="G121" s="4" t="s">
        <v>6</v>
      </c>
      <c r="H121" s="4" t="s">
        <v>22</v>
      </c>
      <c r="I121" s="1">
        <v>500</v>
      </c>
      <c r="J121" s="5" t="s">
        <v>68</v>
      </c>
      <c r="K121" s="3"/>
      <c r="L121" s="1">
        <v>2011</v>
      </c>
    </row>
    <row r="122" spans="1:12">
      <c r="A122" s="1">
        <f>LOOKUP(G122,{"Anhui","Beijing","Chongqing","Fujian","Gansu","Guangdong","Guangxi","Guizhou","Hainan","Hebei","Heilongjiang","Henan","Hubei","Hunan","Inner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</v>
      </c>
      <c r="B122" s="1">
        <f>LOOKUP(H122,{"Anhui","Beijing","Chongqing","Fujian","Gansu","Guangdong","Guangxi","Guizhou","Hainan","Hebei","Heilongjiang","Henan","Hubei","Hunan","Inner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31</v>
      </c>
      <c r="C122" s="1">
        <v>2000</v>
      </c>
      <c r="D122" s="3"/>
      <c r="E122" s="3"/>
      <c r="F122" s="1" t="s">
        <v>67</v>
      </c>
      <c r="G122" s="4" t="s">
        <v>6</v>
      </c>
      <c r="H122" s="4" t="s">
        <v>36</v>
      </c>
      <c r="I122" s="1">
        <v>500</v>
      </c>
      <c r="J122" s="5" t="s">
        <v>68</v>
      </c>
      <c r="K122" s="3"/>
      <c r="L122" s="1">
        <v>2011</v>
      </c>
    </row>
    <row r="123" spans="1:12">
      <c r="A123" s="1">
        <f>LOOKUP(G123,{"Anhui","Beijing","Chongqing","Fujian","Gansu","Guangdong","Guangxi","Guizhou","Hainan","Hebei","Heilongjiang","Henan","Hubei","Hunan","Inner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16</v>
      </c>
      <c r="B123" s="1">
        <f>LOOKUP(H123,{"Anhui","Beijing","Chongqing","Fujian","Gansu","Guangdong","Guangxi","Guizhou","Hainan","Hebei","Heilongjiang","Henan","Hubei","Hunan","Inner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24</v>
      </c>
      <c r="C123" s="1">
        <v>2000</v>
      </c>
      <c r="D123" s="3"/>
      <c r="E123" s="3"/>
      <c r="F123" s="1" t="s">
        <v>67</v>
      </c>
      <c r="G123" s="4" t="s">
        <v>21</v>
      </c>
      <c r="H123" s="4" t="s">
        <v>29</v>
      </c>
      <c r="I123" s="1">
        <v>500</v>
      </c>
      <c r="J123" s="5" t="s">
        <v>68</v>
      </c>
      <c r="K123" s="3"/>
      <c r="L123" s="1">
        <v>2011</v>
      </c>
    </row>
    <row r="124" spans="1:12">
      <c r="A124" s="1">
        <f>LOOKUP(G124,{"Anhui","Beijing","Chongqing","Fujian","Gansu","Guangdong","Guangxi","Guizhou","Hainan","Hebei","Heilongjiang","Henan","Hubei","Hunan","Inner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16</v>
      </c>
      <c r="B124" s="1">
        <f>LOOKUP(H124,{"Anhui","Beijing","Chongqing","Fujian","Gansu","Guangdong","Guangxi","Guizhou","Hainan","Hebei","Heilongjiang","Henan","Hubei","Hunan","Inner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31</v>
      </c>
      <c r="C124" s="1">
        <v>2000</v>
      </c>
      <c r="D124" s="3"/>
      <c r="E124" s="3"/>
      <c r="F124" s="1" t="s">
        <v>67</v>
      </c>
      <c r="G124" s="4" t="s">
        <v>21</v>
      </c>
      <c r="H124" s="4" t="s">
        <v>36</v>
      </c>
      <c r="I124" s="1">
        <v>500</v>
      </c>
      <c r="J124" s="5" t="s">
        <v>68</v>
      </c>
      <c r="K124" s="3"/>
      <c r="L124" s="1">
        <v>2011</v>
      </c>
    </row>
    <row r="125" spans="1:12">
      <c r="A125" s="1">
        <f>LOOKUP(G125,{"Anhui","Beijing","Chongqing","Fujian","Gansu","Guangdong","Guangxi","Guizhou","Hainan","Hebei","Heilongjiang","Henan","Hubei","Hunan","Inner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31</v>
      </c>
      <c r="B125" s="1">
        <f>LOOKUP(H125,{"Anhui","Beijing","Chongqing","Fujian","Gansu","Guangdong","Guangxi","Guizhou","Hainan","Hebei","Heilongjiang","Henan","Hubei","Hunan","Inner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24</v>
      </c>
      <c r="C125" s="1">
        <v>2000</v>
      </c>
      <c r="D125" s="3"/>
      <c r="E125" s="3"/>
      <c r="F125" s="1" t="s">
        <v>67</v>
      </c>
      <c r="G125" s="4" t="s">
        <v>36</v>
      </c>
      <c r="H125" s="4" t="s">
        <v>29</v>
      </c>
      <c r="I125" s="1">
        <v>500</v>
      </c>
      <c r="J125" s="5" t="s">
        <v>68</v>
      </c>
      <c r="K125" s="3"/>
      <c r="L125" s="1">
        <v>2011</v>
      </c>
    </row>
    <row r="126" spans="1:12">
      <c r="A126" s="1">
        <f>LOOKUP(G126,{"Anhui","Beijing","Chongqing","Fujian","Gansu","Guangdong","Guangxi","Guizhou","Hainan","Hebei","Heilongjiang","Henan","Hubei","Hunan","Inner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17</v>
      </c>
      <c r="B126" s="1">
        <f>LOOKUP(H126,{"Anhui","Beijing","Chongqing","Fujian","Gansu","Guangdong","Guangxi","Guizhou","Hainan","Hebei","Heilongjiang","Henan","Hubei","Hunan","Inner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31</v>
      </c>
      <c r="C126" s="1">
        <v>2000</v>
      </c>
      <c r="D126" s="3"/>
      <c r="E126" s="3"/>
      <c r="F126" s="1" t="s">
        <v>67</v>
      </c>
      <c r="G126" s="4" t="s">
        <v>22</v>
      </c>
      <c r="H126" s="4" t="s">
        <v>36</v>
      </c>
      <c r="I126" s="1">
        <v>500</v>
      </c>
      <c r="J126" s="5" t="s">
        <v>68</v>
      </c>
      <c r="K126" s="3"/>
      <c r="L126" s="1">
        <v>2011</v>
      </c>
    </row>
    <row r="127" spans="1:12">
      <c r="A127" s="1">
        <f>LOOKUP(G127,{"Anhui","Beijing","Chongqing","Fujian","Gansu","Guangdong","Guangxi","Guizhou","Hainan","Hebei","Heilongjiang","Henan","Hubei","Hunan","Inner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4</v>
      </c>
      <c r="B127" s="1">
        <f>LOOKUP(H127,{"Anhui","Beijing","Chongqing","Fujian","Gansu","Guangdong","Guangxi","Guizhou","Hainan","Hebei","Heilongjiang","Henan","Hubei","Hunan","Inner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31</v>
      </c>
      <c r="C127" s="1">
        <v>2000</v>
      </c>
      <c r="D127" s="3"/>
      <c r="E127" s="3"/>
      <c r="F127" s="1" t="s">
        <v>67</v>
      </c>
      <c r="G127" s="4" t="s">
        <v>9</v>
      </c>
      <c r="H127" s="4" t="s">
        <v>36</v>
      </c>
      <c r="I127" s="1">
        <v>500</v>
      </c>
      <c r="J127" s="5" t="s">
        <v>68</v>
      </c>
      <c r="K127" s="3"/>
      <c r="L127" s="1">
        <v>2011</v>
      </c>
    </row>
    <row r="128" spans="1:12">
      <c r="A128" s="1">
        <f>LOOKUP(G128,{"Anhui","Beijing","Chongqing","Fujian","Gansu","Guangdong","Guangxi","Guizhou","Hainan","Hebei","Heilongjiang","Henan","Hubei","Hunan","Inner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6</v>
      </c>
      <c r="B128" s="1">
        <f>LOOKUP(H128,{"Anhui","Beijing","Chongqing","Fujian","Gansu","Guangdong","Guangxi","Guizhou","Hainan","Hebei","Heilongjiang","Henan","Hubei","Hunan","Inner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4</v>
      </c>
      <c r="C128" s="1">
        <v>2000</v>
      </c>
      <c r="D128" s="3"/>
      <c r="E128" s="3"/>
      <c r="F128" s="1" t="s">
        <v>67</v>
      </c>
      <c r="G128" s="4" t="s">
        <v>11</v>
      </c>
      <c r="H128" s="4" t="s">
        <v>9</v>
      </c>
      <c r="I128" s="1">
        <v>500</v>
      </c>
      <c r="J128" s="5" t="s">
        <v>68</v>
      </c>
      <c r="K128" s="3"/>
      <c r="L128" s="1">
        <v>2011</v>
      </c>
    </row>
    <row r="129" spans="1:12">
      <c r="A129" s="1">
        <f>LOOKUP(G129,{"Anhui","Beijing","Chongqing","Fujian","Gansu","Guangdong","Guangxi","Guizhou","Hainan","Hebei","Heilongjiang","Henan","Hubei","Hunan","Inner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14</v>
      </c>
      <c r="B129" s="1">
        <f>LOOKUP(H129,{"Anhui","Beijing","Chongqing","Fujian","Gansu","Guangdong","Guangxi","Guizhou","Hainan","Hebei","Heilongjiang","Henan","Hubei","Hunan","Inner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6</v>
      </c>
      <c r="C129" s="1">
        <v>2000</v>
      </c>
      <c r="D129" s="3"/>
      <c r="E129" s="3"/>
      <c r="F129" s="1" t="s">
        <v>67</v>
      </c>
      <c r="G129" s="4" t="s">
        <v>19</v>
      </c>
      <c r="H129" s="4" t="s">
        <v>11</v>
      </c>
      <c r="I129" s="1">
        <v>500</v>
      </c>
      <c r="J129" s="5" t="s">
        <v>68</v>
      </c>
      <c r="K129" s="3"/>
      <c r="L129" s="1">
        <v>2011</v>
      </c>
    </row>
    <row r="130" spans="1:12">
      <c r="A130" s="1">
        <f>LOOKUP(G130,{"Anhui","Beijing","Chongqing","Fujian","Gansu","Guangdong","Guangxi","Guizhou","Hainan","Hebei","Heilongjiang","Henan","Hubei","Hunan","Inner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26</v>
      </c>
      <c r="B130" s="1">
        <f>LOOKUP(H130,{"Anhui","Beijing","Chongqing","Fujian","Gansu","Guangdong","Guangxi","Guizhou","Hainan","Hebei","Heilongjiang","Henan","Hubei","Hunan","Inner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8</v>
      </c>
      <c r="C130" s="1">
        <v>2000</v>
      </c>
      <c r="D130" s="3"/>
      <c r="E130" s="3"/>
      <c r="F130" s="1" t="s">
        <v>67</v>
      </c>
      <c r="G130" s="4" t="s">
        <v>31</v>
      </c>
      <c r="H130" s="4" t="s">
        <v>13</v>
      </c>
      <c r="I130" s="1">
        <v>500</v>
      </c>
      <c r="J130" s="5" t="s">
        <v>68</v>
      </c>
      <c r="K130" s="3"/>
      <c r="L130" s="1">
        <v>2011</v>
      </c>
    </row>
    <row r="131" spans="1:12">
      <c r="A131" s="1">
        <f>LOOKUP(G131,{"Anhui","Beijing","Chongqing","Fujian","Gansu","Guangdong","Guangxi","Guizhou","Hainan","Hebei","Heilongjiang","Henan","Hubei","Hunan","Inner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10</v>
      </c>
      <c r="B131" s="1">
        <f>LOOKUP(H131,{"Anhui","Beijing","Chongqing","Fujian","Gansu","Guangdong","Guangxi","Guizhou","Hainan","Hebei","Heilongjiang","Henan","Hubei","Hunan","Inner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</v>
      </c>
      <c r="C131" s="1">
        <v>2000</v>
      </c>
      <c r="D131" s="3"/>
      <c r="E131" s="3"/>
      <c r="F131" s="1" t="s">
        <v>67</v>
      </c>
      <c r="G131" s="4" t="s">
        <v>15</v>
      </c>
      <c r="H131" s="4" t="s">
        <v>7</v>
      </c>
      <c r="I131" s="1">
        <v>500</v>
      </c>
      <c r="J131" s="5" t="s">
        <v>68</v>
      </c>
      <c r="K131" s="3"/>
      <c r="L131" s="1">
        <v>2011</v>
      </c>
    </row>
    <row r="132" spans="1:12">
      <c r="A132" s="1">
        <f>LOOKUP(G132,{"Anhui","Beijing","Chongqing","Fujian","Gansu","Guangdong","Guangxi","Guizhou","Hainan","Hebei","Heilongjiang","Henan","Hubei","Hunan","Inner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10</v>
      </c>
      <c r="B132" s="1">
        <f>LOOKUP(H132,{"Anhui","Beijing","Chongqing","Fujian","Gansu","Guangdong","Guangxi","Guizhou","Hainan","Hebei","Heilongjiang","Henan","Hubei","Hunan","Inner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</v>
      </c>
      <c r="C132" s="1">
        <v>2000</v>
      </c>
      <c r="D132" s="3"/>
      <c r="E132" s="3"/>
      <c r="F132" s="1" t="s">
        <v>67</v>
      </c>
      <c r="G132" s="4" t="s">
        <v>15</v>
      </c>
      <c r="H132" s="4" t="s">
        <v>7</v>
      </c>
      <c r="I132" s="1">
        <v>500</v>
      </c>
      <c r="J132" s="5" t="s">
        <v>68</v>
      </c>
      <c r="K132" s="3"/>
      <c r="L132" s="1">
        <v>2011</v>
      </c>
    </row>
    <row r="133" spans="1:12">
      <c r="A133" s="1">
        <f>LOOKUP(G133,{"Anhui","Beijing","Chongqing","Fujian","Gansu","Guangdong","Guangxi","Guizhou","Hainan","Hebei","Heilongjiang","Henan","Hubei","Hunan","Inner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10</v>
      </c>
      <c r="B133" s="1">
        <f>LOOKUP(H133,{"Anhui","Beijing","Chongqing","Fujian","Gansu","Guangdong","Guangxi","Guizhou","Hainan","Hebei","Heilongjiang","Henan","Hubei","Hunan","Inner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</v>
      </c>
      <c r="C133" s="1">
        <v>2000</v>
      </c>
      <c r="D133" s="3"/>
      <c r="E133" s="3"/>
      <c r="F133" s="1" t="s">
        <v>67</v>
      </c>
      <c r="G133" s="4" t="s">
        <v>15</v>
      </c>
      <c r="H133" s="4" t="s">
        <v>7</v>
      </c>
      <c r="I133" s="1">
        <v>500</v>
      </c>
      <c r="J133" s="5" t="s">
        <v>68</v>
      </c>
      <c r="K133" s="3"/>
      <c r="L133" s="1">
        <v>2011</v>
      </c>
    </row>
    <row r="134" spans="1:12">
      <c r="A134" s="1">
        <f>LOOKUP(G134,{"Anhui","Beijing","Chongqing","Fujian","Gansu","Guangdong","Guangxi","Guizhou","Hainan","Hebei","Heilongjiang","Henan","Hubei","Hunan","Inner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5</v>
      </c>
      <c r="B134" s="1">
        <f>LOOKUP(H134,{"Anhui","Beijing","Chongqing","Fujian","Gansu","Guangdong","Guangxi","Guizhou","Hainan","Hebei","Heilongjiang","Henan","Hubei","Hunan","Inner Mongolia","Jiangsu","Jiangxi","Jilin","Liaoning","Ningxia","Qinghai","Shaanxi","Shandong","Shanghai","Shanxi","Sichuan","Tianjin","Xinjiang","Xizang","Yunnan","Zhejiang"},{1,2,3,4,5,6,7,8,9,10,11,12,13,14,15,16,17,18,19,20,21,22,23,24,25,26,27,28,29,30,31,""})</f>
        <v>26</v>
      </c>
      <c r="C134" s="1">
        <v>2000</v>
      </c>
      <c r="D134" s="3"/>
      <c r="E134" s="3"/>
      <c r="F134" s="1" t="s">
        <v>67</v>
      </c>
      <c r="G134" s="4" t="s">
        <v>10</v>
      </c>
      <c r="H134" s="4" t="s">
        <v>31</v>
      </c>
      <c r="I134" s="1">
        <v>500</v>
      </c>
      <c r="J134" s="5" t="s">
        <v>68</v>
      </c>
      <c r="K134" s="3"/>
      <c r="L134" s="1">
        <v>2011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George</cp:lastModifiedBy>
  <dcterms:created xsi:type="dcterms:W3CDTF">2023-05-12T11:15:00Z</dcterms:created>
  <dcterms:modified xsi:type="dcterms:W3CDTF">2026-06-23T11:23:09Z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A9C4F16DAD9340DC94707A801AF070CC_12</vt:lpwstr>
  </property>
  <property fmtid="{D5CDD505-2E9C-101B-9397-08002B2CF9AE}" pid="4" name="CalculationRule">
    <vt:i4>0</vt:i4>
  </property>
</Properties>
</file>